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Gegamyan\Desktop\Милорем\"/>
    </mc:Choice>
  </mc:AlternateContent>
  <xr:revisionPtr revIDLastSave="0" documentId="13_ncr:1_{DA5C4D3C-A643-463D-B5F6-D856C4709BB5}" xr6:coauthVersionLast="47" xr6:coauthVersionMax="47" xr10:uidLastSave="{00000000-0000-0000-0000-000000000000}"/>
  <bookViews>
    <workbookView xWindow="-108" yWindow="-108" windowWidth="23256" windowHeight="12456" xr2:uid="{E896A44F-75BF-4C8D-BB4D-6F97F697605D}"/>
  </bookViews>
  <sheets>
    <sheet name="Лист1" sheetId="1" r:id="rId1"/>
  </sheets>
  <definedNames>
    <definedName name="_xlnm._FilterDatabase" localSheetId="0" hidden="1">Лист1!$A$1:$O$99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2" i="1"/>
</calcChain>
</file>

<file path=xl/sharedStrings.xml><?xml version="1.0" encoding="utf-8"?>
<sst xmlns="http://schemas.openxmlformats.org/spreadsheetml/2006/main" count="868" uniqueCount="354">
  <si>
    <t>Код</t>
  </si>
  <si>
    <t>Правильный код для дубликатов</t>
  </si>
  <si>
    <t>Ед. изм.</t>
  </si>
  <si>
    <t>Первоначальное наименование</t>
  </si>
  <si>
    <t>Исправленное полное наименование</t>
  </si>
  <si>
    <t>Марка</t>
  </si>
  <si>
    <t>Чертеж</t>
  </si>
  <si>
    <t>Размеры</t>
  </si>
  <si>
    <t>Цвет</t>
  </si>
  <si>
    <t>ГОСТ/ТУ</t>
  </si>
  <si>
    <t>×арактеристики</t>
  </si>
  <si>
    <t>Код СКМТР</t>
  </si>
  <si>
    <t>Группа по области применения</t>
  </si>
  <si>
    <t>00000012874</t>
  </si>
  <si>
    <t>м2</t>
  </si>
  <si>
    <t>Зеркало</t>
  </si>
  <si>
    <t/>
  </si>
  <si>
    <t>Изделия из стекла</t>
  </si>
  <si>
    <t>шт</t>
  </si>
  <si>
    <t>00000137530</t>
  </si>
  <si>
    <t>Зеркало 30х40</t>
  </si>
  <si>
    <t>30×40 см</t>
  </si>
  <si>
    <t>00000131972</t>
  </si>
  <si>
    <t>Зеркало 4 мм 500*200 мм без обработки кромки</t>
  </si>
  <si>
    <t>Зеркало без обработки кромки</t>
  </si>
  <si>
    <t xml:space="preserve">4 мм 500×200 мм </t>
  </si>
  <si>
    <t>00000018580</t>
  </si>
  <si>
    <t>Зеркало 700х1000</t>
  </si>
  <si>
    <t xml:space="preserve">Зеркало </t>
  </si>
  <si>
    <t>700×1000 мм</t>
  </si>
  <si>
    <t>00000109514</t>
  </si>
  <si>
    <t>Зеркало боковое основное с обогревом 350х164</t>
  </si>
  <si>
    <t xml:space="preserve">Зеркало боковое основное с обогревом </t>
  </si>
  <si>
    <t>350×164 мм</t>
  </si>
  <si>
    <t>00000105082</t>
  </si>
  <si>
    <t>Зеркало боковое с обогревом 365х180</t>
  </si>
  <si>
    <t xml:space="preserve">Зеркало боковое с обогревом </t>
  </si>
  <si>
    <t>365×180 мм</t>
  </si>
  <si>
    <t>00000134989</t>
  </si>
  <si>
    <t>Зеркало з/в бок 360х180 на дугу</t>
  </si>
  <si>
    <t>Зеркало заднего вида  боковое на дугу</t>
  </si>
  <si>
    <t>360×180 мм</t>
  </si>
  <si>
    <t>00000117208</t>
  </si>
  <si>
    <t>00000053952</t>
  </si>
  <si>
    <t>Зеркало з/в бок. 435*215 сфер. пластм.</t>
  </si>
  <si>
    <t>Зеркало заднего вида боковое  сферическое, пластмассовое</t>
  </si>
  <si>
    <t>435×215 мм</t>
  </si>
  <si>
    <t>Зеркало з/в бок. 435х215 сфер.пластм.</t>
  </si>
  <si>
    <t>00000112005</t>
  </si>
  <si>
    <t>Зеркало з/в бок360х180</t>
  </si>
  <si>
    <t xml:space="preserve">Зеркало заднего вида боковое  </t>
  </si>
  <si>
    <t>00000059398</t>
  </si>
  <si>
    <t>Зеркало заднего обзора</t>
  </si>
  <si>
    <t>00000092442</t>
  </si>
  <si>
    <t>Зеркало МИР в раме МДФ 354х15х955</t>
  </si>
  <si>
    <t xml:space="preserve">Зеркало МИР в раме МДФ </t>
  </si>
  <si>
    <t>354×15×955 мм</t>
  </si>
  <si>
    <t>00000097680</t>
  </si>
  <si>
    <t>00000063923</t>
  </si>
  <si>
    <t>Зеркало навесное Классик-4</t>
  </si>
  <si>
    <t>00000129212</t>
  </si>
  <si>
    <t>Зеркало настенное 805х498</t>
  </si>
  <si>
    <t>Зеркало настенное</t>
  </si>
  <si>
    <t>805×498 мм</t>
  </si>
  <si>
    <t>00000122195</t>
  </si>
  <si>
    <t>Зеркало серебро 4мм</t>
  </si>
  <si>
    <t>Зеркало серебро</t>
  </si>
  <si>
    <t xml:space="preserve"> 4мм</t>
  </si>
  <si>
    <t>00000041101</t>
  </si>
  <si>
    <t>Зеркало техническое //6504504</t>
  </si>
  <si>
    <t xml:space="preserve">Зеркало техническое </t>
  </si>
  <si>
    <t>650×450×4 мм</t>
  </si>
  <si>
    <t>00000014543</t>
  </si>
  <si>
    <t>Зеркало техническое заднего вида 600х450</t>
  </si>
  <si>
    <t xml:space="preserve">Зеркало техническое заднего вида </t>
  </si>
  <si>
    <t>600×450 мм</t>
  </si>
  <si>
    <t>00000134960</t>
  </si>
  <si>
    <t>Зеркалодержатель</t>
  </si>
  <si>
    <t>00000103586</t>
  </si>
  <si>
    <t>Зеркальное полотно V6 (162х340)</t>
  </si>
  <si>
    <t xml:space="preserve">Зеркальное полотно V6 </t>
  </si>
  <si>
    <t>162×340 мм</t>
  </si>
  <si>
    <t>00000080141</t>
  </si>
  <si>
    <t>Изделие остекления боковое ТЭМ7А-2Р</t>
  </si>
  <si>
    <t xml:space="preserve">Изделие остекления боковое </t>
  </si>
  <si>
    <t>ТЭМ7А-2Р</t>
  </si>
  <si>
    <t>00000072657</t>
  </si>
  <si>
    <t>Изделие остекления боковое ТЭМ7А-6Р ч.</t>
  </si>
  <si>
    <t>ТЭМ7А-6Р</t>
  </si>
  <si>
    <t>00000076312</t>
  </si>
  <si>
    <t>Изделие остекления окна двери ТЭМ7А-3Р ч.</t>
  </si>
  <si>
    <t xml:space="preserve">Изделие остекления окна двери </t>
  </si>
  <si>
    <t>ТЭМ7А-3Р</t>
  </si>
  <si>
    <t>00000083356</t>
  </si>
  <si>
    <t>Изделие остекления окнаТЭМ7А-4Р ч.</t>
  </si>
  <si>
    <t>Изделие остекления окна</t>
  </si>
  <si>
    <t>ТЭМ7А-4Р</t>
  </si>
  <si>
    <t>00000141362</t>
  </si>
  <si>
    <t>Изделие остекления ОТИ 2276</t>
  </si>
  <si>
    <t xml:space="preserve">Изделие остекления </t>
  </si>
  <si>
    <t>ОТИ 2276</t>
  </si>
  <si>
    <t>00000132501</t>
  </si>
  <si>
    <t>Изделие остекления ОТИ 2277</t>
  </si>
  <si>
    <t>ОТИ 2277</t>
  </si>
  <si>
    <t>00000141809</t>
  </si>
  <si>
    <t>Изделие остекления ОТИ961 ТУ.черт. ОТИ 2257</t>
  </si>
  <si>
    <t>ОТИ961 ТУ.черт. ОТИ 2257</t>
  </si>
  <si>
    <t>00000023498</t>
  </si>
  <si>
    <t>Оргстекло 3 мм</t>
  </si>
  <si>
    <t>Оргстекло</t>
  </si>
  <si>
    <t>3 мм</t>
  </si>
  <si>
    <t>00000013169</t>
  </si>
  <si>
    <t>Оргстекло 4</t>
  </si>
  <si>
    <t xml:space="preserve">Оргстекло </t>
  </si>
  <si>
    <t>4 мм</t>
  </si>
  <si>
    <t>00000123648</t>
  </si>
  <si>
    <t>Пластина поликарбонат 110х90</t>
  </si>
  <si>
    <t>Пластина поликарбонат</t>
  </si>
  <si>
    <t>110х90</t>
  </si>
  <si>
    <t>00000141404</t>
  </si>
  <si>
    <t>Пластина поликарбонат 113х114</t>
  </si>
  <si>
    <t>113х114</t>
  </si>
  <si>
    <t>00000088657</t>
  </si>
  <si>
    <t>00000072787</t>
  </si>
  <si>
    <t>Сталинит плоский 778х380 мм</t>
  </si>
  <si>
    <t xml:space="preserve">Сталинит плоский </t>
  </si>
  <si>
    <t>778×380 мм</t>
  </si>
  <si>
    <t>00000088653</t>
  </si>
  <si>
    <t>00000072778</t>
  </si>
  <si>
    <t>Сталинит плоский 782х458мм</t>
  </si>
  <si>
    <t>782×458 мм</t>
  </si>
  <si>
    <t>00000088654</t>
  </si>
  <si>
    <t>00000072788</t>
  </si>
  <si>
    <t>Сталинит плоский 804х128х5 мм</t>
  </si>
  <si>
    <t>804×128×5 мм</t>
  </si>
  <si>
    <t>00000124935</t>
  </si>
  <si>
    <t>Стекло (сталинит) //МТ933 (4.02.79.70.066) (838х523х6)</t>
  </si>
  <si>
    <t>838×523×6 мм</t>
  </si>
  <si>
    <t>00000129411</t>
  </si>
  <si>
    <t>Стекло //МАС.152.00.000</t>
  </si>
  <si>
    <t>Стекло</t>
  </si>
  <si>
    <t>МАС.152.00.000</t>
  </si>
  <si>
    <t>00000129412</t>
  </si>
  <si>
    <t>Стекло //МАС.153.00.000</t>
  </si>
  <si>
    <t>МАС.153.00.000</t>
  </si>
  <si>
    <t>Стекло //МТ934 (4.02.79.70.067) 782х458х55</t>
  </si>
  <si>
    <t>МТ934 (4.02.79.70.067)</t>
  </si>
  <si>
    <t>782×458×55 мм</t>
  </si>
  <si>
    <t>Стекло //МТ936 (4.02.79.70.059) 778х380х6</t>
  </si>
  <si>
    <t xml:space="preserve">МТ936 (4.02.79.70.059) </t>
  </si>
  <si>
    <t>778×380×6 мм</t>
  </si>
  <si>
    <t>Стекло //МТ937 (4.02.79.70.065) 804х128</t>
  </si>
  <si>
    <t xml:space="preserve">Стекло </t>
  </si>
  <si>
    <t>сталинит</t>
  </si>
  <si>
    <t>МТ937 (4.02.79.70.065)</t>
  </si>
  <si>
    <t>804×128 мм</t>
  </si>
  <si>
    <t>00000020952</t>
  </si>
  <si>
    <t>Стекло 3мм</t>
  </si>
  <si>
    <t>Стекло листовое</t>
  </si>
  <si>
    <t>00000013179</t>
  </si>
  <si>
    <t>Стекло 4 мм</t>
  </si>
  <si>
    <t>00000021520</t>
  </si>
  <si>
    <t>00000110865</t>
  </si>
  <si>
    <t>Стекло 4 мм полир</t>
  </si>
  <si>
    <t>Стекло листовое полированное</t>
  </si>
  <si>
    <t>00000031981</t>
  </si>
  <si>
    <t>Стекло 4.02.79.70.066 525х840</t>
  </si>
  <si>
    <t>525×840 мм</t>
  </si>
  <si>
    <t>00000071141</t>
  </si>
  <si>
    <t>Стекло боковое (сталинит) // 475х415</t>
  </si>
  <si>
    <t>Стекло боковое</t>
  </si>
  <si>
    <t>475×415 мм</t>
  </si>
  <si>
    <t>00000083529</t>
  </si>
  <si>
    <t>Стекло буферное//460х210</t>
  </si>
  <si>
    <t>Стекло буферное</t>
  </si>
  <si>
    <t>460×210 мм</t>
  </si>
  <si>
    <t>00000084564</t>
  </si>
  <si>
    <t>00000083530</t>
  </si>
  <si>
    <t>Стекло ВВК//665х210</t>
  </si>
  <si>
    <t>Стекло ВВК</t>
  </si>
  <si>
    <t>665×210 мм</t>
  </si>
  <si>
    <t>00000083531</t>
  </si>
  <si>
    <t>Стекло ветровое//467х160</t>
  </si>
  <si>
    <t>Стекло ветровое</t>
  </si>
  <si>
    <t>467×160 мм</t>
  </si>
  <si>
    <t>00000015176</t>
  </si>
  <si>
    <t>Стекло водомерное</t>
  </si>
  <si>
    <t>00000058184</t>
  </si>
  <si>
    <t>Стекло водомерное (трубка стекл. водомерная)//15-17х2-3х1000ХС</t>
  </si>
  <si>
    <t>Трубка стеклянная водомерная</t>
  </si>
  <si>
    <t>15-17×2-3×1000 мм</t>
  </si>
  <si>
    <t>00000081439</t>
  </si>
  <si>
    <t>Стекло водоуказательное//220х30х17</t>
  </si>
  <si>
    <t>Стекло водоуказательное</t>
  </si>
  <si>
    <t>220×30×17 мм</t>
  </si>
  <si>
    <t>00000083532</t>
  </si>
  <si>
    <t>Стекло задвижное//467х376</t>
  </si>
  <si>
    <t>Стекло задвижное</t>
  </si>
  <si>
    <t>467×376 мм</t>
  </si>
  <si>
    <t>00000083533</t>
  </si>
  <si>
    <t>Стекло закаленное (сталинит) //465х345</t>
  </si>
  <si>
    <t>Стекло закаленное</t>
  </si>
  <si>
    <t>465×345 мм</t>
  </si>
  <si>
    <t>00000075102</t>
  </si>
  <si>
    <t>Стекло закаленное (сталинит) //760х494</t>
  </si>
  <si>
    <t xml:space="preserve">Стекло закаленное </t>
  </si>
  <si>
    <t>760×494 мм</t>
  </si>
  <si>
    <t>00000106494</t>
  </si>
  <si>
    <t>Стекло закаленное (сталинит) //762х496</t>
  </si>
  <si>
    <t>762×496 мм</t>
  </si>
  <si>
    <t>00000000198</t>
  </si>
  <si>
    <t>Стекло заколенное (сталинит) // 475х415</t>
  </si>
  <si>
    <t>00000138802</t>
  </si>
  <si>
    <t>Стекло защитное 110х9 мм</t>
  </si>
  <si>
    <t>Стекло защитное</t>
  </si>
  <si>
    <t>110×9 мм</t>
  </si>
  <si>
    <t>00000133455</t>
  </si>
  <si>
    <t>Стекло защитное 121х69</t>
  </si>
  <si>
    <t>121×69 мм</t>
  </si>
  <si>
    <t>00000068841</t>
  </si>
  <si>
    <t>Стекло капота переднее // МТ938 (4.02.79.70.070) (634х224)</t>
  </si>
  <si>
    <t>Стекло капота переднее</t>
  </si>
  <si>
    <t>МТ938</t>
  </si>
  <si>
    <t>634×224 мм</t>
  </si>
  <si>
    <t>00000072789</t>
  </si>
  <si>
    <t>Стекло капота переднее //МТ938 (4.02.79.70.070) 634х224</t>
  </si>
  <si>
    <t xml:space="preserve">Стекло капота переднее </t>
  </si>
  <si>
    <t>00000042488</t>
  </si>
  <si>
    <t>Стекло Клингера (стекло гладкое №5) //220х28х17</t>
  </si>
  <si>
    <t>Стекло Клингера (гладкое №5)</t>
  </si>
  <si>
    <t>220×28×17 мм</t>
  </si>
  <si>
    <t>00000072539</t>
  </si>
  <si>
    <t>00000081937</t>
  </si>
  <si>
    <t>00000016487</t>
  </si>
  <si>
    <t>Стекло Клингера //280х30х17</t>
  </si>
  <si>
    <t>Стекло Клингера</t>
  </si>
  <si>
    <t>280×30×17 мм</t>
  </si>
  <si>
    <t>Стекло клингера 4-02-280-30-17 280х30х17 мм</t>
  </si>
  <si>
    <t>00000083534</t>
  </si>
  <si>
    <t>Стекло лобовое (левое)//МАС.071.00.000-03 (75 В 642Вт)</t>
  </si>
  <si>
    <t>Стекло лобовое левое</t>
  </si>
  <si>
    <t xml:space="preserve">МАС.071.00.000-03 </t>
  </si>
  <si>
    <t>75 В 642Вт</t>
  </si>
  <si>
    <t>00000073474</t>
  </si>
  <si>
    <t>Стекло лобовое (правое )//МАС.087.00.000-02</t>
  </si>
  <si>
    <t>Стекло лобовое правое</t>
  </si>
  <si>
    <t>МАС.087.00.000-02</t>
  </si>
  <si>
    <t>00000083535</t>
  </si>
  <si>
    <t>Стекло лобовое (правое)//МАС.071.00.000-02 (75 В 642Вт)</t>
  </si>
  <si>
    <t>МАС.071.00.000-02</t>
  </si>
  <si>
    <t>00000091415</t>
  </si>
  <si>
    <t>Стекло органическое техническое // ТОСП (3)</t>
  </si>
  <si>
    <t>Стекло органическое техническое (ТОСП)</t>
  </si>
  <si>
    <t>ТОСП</t>
  </si>
  <si>
    <t>00000056416</t>
  </si>
  <si>
    <t>Стекло органическое техническое // ТОСП (4)</t>
  </si>
  <si>
    <t>4мм</t>
  </si>
  <si>
    <t>00000141802</t>
  </si>
  <si>
    <t>Стекло плоское Т 5 370х320 мм ГОСТ 32565-2013</t>
  </si>
  <si>
    <t>Стекло плоское</t>
  </si>
  <si>
    <t>370×320 мм, Т5</t>
  </si>
  <si>
    <t xml:space="preserve"> ГОСТ 32565-2013</t>
  </si>
  <si>
    <t>00000137508</t>
  </si>
  <si>
    <t>м</t>
  </si>
  <si>
    <t>Стекло полированное 6 мм</t>
  </si>
  <si>
    <t xml:space="preserve">Стекло полированное </t>
  </si>
  <si>
    <t>6 мм</t>
  </si>
  <si>
    <t>00000126838</t>
  </si>
  <si>
    <t>Стекло полированное листовое 4мм</t>
  </si>
  <si>
    <t xml:space="preserve">Стекло полированное листовое </t>
  </si>
  <si>
    <t>00000142584</t>
  </si>
  <si>
    <t>Стекло полированное листовое 4мм М1</t>
  </si>
  <si>
    <t>4мм М1</t>
  </si>
  <si>
    <t>00000084699</t>
  </si>
  <si>
    <t>Стекло прожекторного фонаря// 485х375</t>
  </si>
  <si>
    <t>Стекло прожекторного фонаря</t>
  </si>
  <si>
    <t>485×375 мм</t>
  </si>
  <si>
    <t>00000084919</t>
  </si>
  <si>
    <t>00000129501</t>
  </si>
  <si>
    <t>Стекло синтетическое акрил прозрачное</t>
  </si>
  <si>
    <t>00000126646</t>
  </si>
  <si>
    <t>Стекло синтетическое полистирол 4х500-1000 мм</t>
  </si>
  <si>
    <t>Стекло синтетическое полистирол</t>
  </si>
  <si>
    <t>4×500–1000 мм</t>
  </si>
  <si>
    <t>00000139926</t>
  </si>
  <si>
    <t>Стекло смотровое закаленное 138 мм х 5 мм</t>
  </si>
  <si>
    <t>Стекло смотровое закаленное</t>
  </si>
  <si>
    <t>138×5 мм</t>
  </si>
  <si>
    <t>00000139927</t>
  </si>
  <si>
    <t>Стекло смотровое закаленное 140 мм х 5 мм</t>
  </si>
  <si>
    <t>140×5 мм</t>
  </si>
  <si>
    <t>00000139925</t>
  </si>
  <si>
    <t>Стекло смотровое закаленное 255 мм х 5 мм</t>
  </si>
  <si>
    <t>255×5 мм</t>
  </si>
  <si>
    <t>00000109363</t>
  </si>
  <si>
    <t>Стекло смотровое закаленное 378х5 мм</t>
  </si>
  <si>
    <t>378×5 мм</t>
  </si>
  <si>
    <t>00000139928</t>
  </si>
  <si>
    <t>Стекло смотровое закаленное 390 мм х 5 мм</t>
  </si>
  <si>
    <t>390×5 мм</t>
  </si>
  <si>
    <t>00000139929</t>
  </si>
  <si>
    <t>Стекло смотровое закаленное R-80 5 мм х 380 мм х 5 мм</t>
  </si>
  <si>
    <t>Стекло смотровое закаленное радиусное</t>
  </si>
  <si>
    <t>R-80, 380 мм, 5 мм</t>
  </si>
  <si>
    <t>00000095201</t>
  </si>
  <si>
    <t>Стекло ТИС №3</t>
  </si>
  <si>
    <t>ТИС №3</t>
  </si>
  <si>
    <t>00000101161</t>
  </si>
  <si>
    <t>Стекло ТИС №4</t>
  </si>
  <si>
    <t>ТИС №4</t>
  </si>
  <si>
    <t>00000136273</t>
  </si>
  <si>
    <t>Стеклопакет 32 мм 580х565</t>
  </si>
  <si>
    <t xml:space="preserve">Стеклопакет </t>
  </si>
  <si>
    <t>32 мм 580×565 мм</t>
  </si>
  <si>
    <t>00000136271</t>
  </si>
  <si>
    <t>Стеклопакет 32 мм 680х665</t>
  </si>
  <si>
    <t>32 мм 680х665 мм</t>
  </si>
  <si>
    <t>00000139914</t>
  </si>
  <si>
    <t>Триплекс фигурный 6 мм х 600 мм х 500 мм</t>
  </si>
  <si>
    <t>Триплекс фигурный</t>
  </si>
  <si>
    <t>6 мм;  600×500 мм</t>
  </si>
  <si>
    <t>00000141637</t>
  </si>
  <si>
    <t>Триплекс фигурный R10 576 - 6 мм х 600 мм х 500 мм</t>
  </si>
  <si>
    <t xml:space="preserve">Триплекс фигурный </t>
  </si>
  <si>
    <t>R10 576 - 6 мм х 600 мм х 500 мм</t>
  </si>
  <si>
    <t>00000089841</t>
  </si>
  <si>
    <t>Труба из кварцевого стекла 12 х15 х 500 мм</t>
  </si>
  <si>
    <t>Труба из кварцевого стекла</t>
  </si>
  <si>
    <t>12 х15 х 500 мм</t>
  </si>
  <si>
    <t>00000139913</t>
  </si>
  <si>
    <t>Труба из кварцевого стекла 15 мм х 2 мм х 935 мм</t>
  </si>
  <si>
    <t>15 мм х 2 мм х 935 мм</t>
  </si>
  <si>
    <t>00000140333</t>
  </si>
  <si>
    <t>Труба стекловолок 40*67</t>
  </si>
  <si>
    <t>Труба стекловолокно</t>
  </si>
  <si>
    <t>40×67 мм</t>
  </si>
  <si>
    <t>00000114378</t>
  </si>
  <si>
    <t>Трубка водоуказательная 14*2-1500 мм</t>
  </si>
  <si>
    <t xml:space="preserve">Трубка водоуказательная </t>
  </si>
  <si>
    <t>Ø14×2 мм, L=1500 мм</t>
  </si>
  <si>
    <t>00000130974</t>
  </si>
  <si>
    <t>Трубка кварцевая (16х25х1200мм) ОСТ 2142-90</t>
  </si>
  <si>
    <t>Трубка кварцевая</t>
  </si>
  <si>
    <t>16×25×1200 мм</t>
  </si>
  <si>
    <t>ОСТ 2142-90</t>
  </si>
  <si>
    <t>00000051819</t>
  </si>
  <si>
    <t>Трубка цилиндрическая d13x1.5мм L1500мм(стекло)</t>
  </si>
  <si>
    <t xml:space="preserve">Трубка цилиндрическая стеклянная </t>
  </si>
  <si>
    <t>Ø13×1.5 мм, L=1500 мм</t>
  </si>
  <si>
    <t>00000117519</t>
  </si>
  <si>
    <t>Трубы из кварцевого стекла 16ммх25ммх1200мм</t>
  </si>
  <si>
    <t>ГФУ</t>
  </si>
  <si>
    <t>10.06</t>
  </si>
  <si>
    <t>Новое наименование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</si>
</sst>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 wrapText="1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 wrapText="1"/>
    </xf>
  </cellXfs>
  <cellStyles count="1">
    <cellStyle name="Обычный" xfId="0" builtinId="0"/>
  </cellStyles>
  <dxfs count="4"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FB814-7517-4118-BBB0-C2A9057F322A}">
  <dimension ref="A1:O99"/>
  <sheetViews>
    <sheetView tabSelected="1" zoomScale="85" zoomScaleNormal="85"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1" width="13.44140625" customWidth="1"/>
    <col min="2" max="2" width="15.77734375" customWidth="1"/>
    <col min="3" max="3" width="7.5546875" customWidth="1"/>
    <col min="4" max="4" width="40" customWidth="1"/>
    <col min="5" max="5" width="8.77734375" customWidth="1"/>
    <col min="6" max="6" width="36.33203125" customWidth="1"/>
    <col min="7" max="7" width="38.77734375" customWidth="1"/>
    <col min="8" max="8" width="21.5546875" customWidth="1"/>
    <col min="9" max="9" width="34.77734375" customWidth="1"/>
    <col min="10" max="10" width="23" customWidth="1"/>
    <col min="11" max="11" width="17.21875" customWidth="1"/>
    <col min="12" max="12" width="19" customWidth="1"/>
    <col min="13" max="13" width="21.21875" customWidth="1"/>
    <col min="14" max="14" width="16.77734375" customWidth="1"/>
    <col min="15" max="15" width="31.77734375" customWidth="1"/>
    <col min="16" max="16" width="41.44140625" customWidth="1"/>
  </cols>
  <sheetData>
    <row r="1" spans="1:15" s="3" customFormat="1" ht="43.2" x14ac:dyDescent="0.3">
      <c r="A1" s="1" t="s">
        <v>0</v>
      </c>
      <c r="B1" s="2" t="s">
        <v>1</v>
      </c>
      <c r="C1" s="1" t="s">
        <v>2</v>
      </c>
      <c r="D1" s="2" t="s">
        <v>3</v>
      </c>
      <c r="E1" s="2" t="s">
        <v>351</v>
      </c>
      <c r="F1" s="2" t="s">
        <v>353</v>
      </c>
      <c r="G1" s="2" t="s">
        <v>4</v>
      </c>
      <c r="H1" s="2" t="s">
        <v>5</v>
      </c>
      <c r="I1" s="1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1" t="s">
        <v>11</v>
      </c>
      <c r="O1" s="2" t="s">
        <v>12</v>
      </c>
    </row>
    <row r="2" spans="1:15" s="3" customFormat="1" x14ac:dyDescent="0.3">
      <c r="A2" s="3" t="s">
        <v>13</v>
      </c>
      <c r="B2" s="4" t="s">
        <v>13</v>
      </c>
      <c r="C2" s="5" t="s">
        <v>14</v>
      </c>
      <c r="D2" s="6" t="s">
        <v>15</v>
      </c>
      <c r="E2" s="6" t="s">
        <v>352</v>
      </c>
      <c r="F2" s="6" t="str">
        <f>G2&amp;H2&amp;I2&amp;J2&amp;K2</f>
        <v>Зеркало</v>
      </c>
      <c r="G2" s="6" t="s">
        <v>15</v>
      </c>
      <c r="H2" s="6"/>
      <c r="I2" s="6"/>
      <c r="J2" s="6"/>
      <c r="K2" s="6"/>
      <c r="L2" s="6"/>
      <c r="M2" s="6"/>
      <c r="N2" s="4" t="s">
        <v>16</v>
      </c>
      <c r="O2" s="6" t="s">
        <v>17</v>
      </c>
    </row>
    <row r="3" spans="1:15" s="3" customFormat="1" x14ac:dyDescent="0.3">
      <c r="A3" s="3" t="s">
        <v>19</v>
      </c>
      <c r="B3" s="4" t="s">
        <v>19</v>
      </c>
      <c r="C3" s="5" t="s">
        <v>18</v>
      </c>
      <c r="D3" s="6" t="s">
        <v>20</v>
      </c>
      <c r="E3" s="6" t="s">
        <v>352</v>
      </c>
      <c r="F3" s="6" t="str">
        <f t="shared" ref="F3:F66" si="0">G3&amp;H3&amp;I3&amp;J3&amp;K3</f>
        <v>Зеркало30×40 см</v>
      </c>
      <c r="G3" s="6" t="s">
        <v>15</v>
      </c>
      <c r="H3" s="6"/>
      <c r="I3" s="6"/>
      <c r="J3" s="6" t="s">
        <v>21</v>
      </c>
      <c r="K3" s="6"/>
      <c r="L3" s="6"/>
      <c r="M3" s="6"/>
      <c r="N3" s="4" t="s">
        <v>16</v>
      </c>
      <c r="O3" s="6" t="s">
        <v>17</v>
      </c>
    </row>
    <row r="4" spans="1:15" s="3" customFormat="1" ht="28.8" x14ac:dyDescent="0.3">
      <c r="A4" s="3" t="s">
        <v>22</v>
      </c>
      <c r="B4" s="4" t="s">
        <v>22</v>
      </c>
      <c r="C4" s="5" t="s">
        <v>18</v>
      </c>
      <c r="D4" s="6" t="s">
        <v>23</v>
      </c>
      <c r="E4" s="6" t="s">
        <v>352</v>
      </c>
      <c r="F4" s="6" t="str">
        <f t="shared" si="0"/>
        <v xml:space="preserve">Зеркало без обработки кромки4 мм 500×200 мм </v>
      </c>
      <c r="G4" s="6" t="s">
        <v>24</v>
      </c>
      <c r="H4" s="6"/>
      <c r="I4" s="6"/>
      <c r="J4" s="6" t="s">
        <v>25</v>
      </c>
      <c r="K4" s="6"/>
      <c r="L4" s="6"/>
      <c r="M4" s="6"/>
      <c r="N4" s="4" t="s">
        <v>16</v>
      </c>
      <c r="O4" s="6" t="s">
        <v>17</v>
      </c>
    </row>
    <row r="5" spans="1:15" s="3" customFormat="1" x14ac:dyDescent="0.3">
      <c r="A5" s="3" t="s">
        <v>26</v>
      </c>
      <c r="B5" s="4" t="s">
        <v>26</v>
      </c>
      <c r="C5" s="5" t="s">
        <v>18</v>
      </c>
      <c r="D5" s="6" t="s">
        <v>27</v>
      </c>
      <c r="E5" s="6" t="s">
        <v>352</v>
      </c>
      <c r="F5" s="6" t="str">
        <f t="shared" si="0"/>
        <v>Зеркало 700×1000 мм</v>
      </c>
      <c r="G5" s="6" t="s">
        <v>28</v>
      </c>
      <c r="H5" s="6"/>
      <c r="I5" s="6"/>
      <c r="J5" s="6" t="s">
        <v>29</v>
      </c>
      <c r="K5" s="6"/>
      <c r="L5" s="6"/>
      <c r="M5" s="6"/>
      <c r="N5" s="4">
        <v>0</v>
      </c>
      <c r="O5" s="6" t="s">
        <v>17</v>
      </c>
    </row>
    <row r="6" spans="1:15" s="3" customFormat="1" ht="28.8" x14ac:dyDescent="0.3">
      <c r="A6" s="3" t="s">
        <v>30</v>
      </c>
      <c r="B6" s="4" t="s">
        <v>30</v>
      </c>
      <c r="C6" s="5" t="s">
        <v>18</v>
      </c>
      <c r="D6" s="6" t="s">
        <v>31</v>
      </c>
      <c r="E6" s="6" t="s">
        <v>352</v>
      </c>
      <c r="F6" s="6" t="str">
        <f t="shared" si="0"/>
        <v>Зеркало боковое основное с обогревом 350×164 мм</v>
      </c>
      <c r="G6" s="6" t="s">
        <v>32</v>
      </c>
      <c r="H6" s="6"/>
      <c r="I6" s="6"/>
      <c r="J6" s="6" t="s">
        <v>33</v>
      </c>
      <c r="K6" s="6"/>
      <c r="L6" s="6"/>
      <c r="M6" s="6"/>
      <c r="N6" s="4" t="s">
        <v>16</v>
      </c>
      <c r="O6" s="6" t="s">
        <v>17</v>
      </c>
    </row>
    <row r="7" spans="1:15" s="3" customFormat="1" ht="28.8" x14ac:dyDescent="0.3">
      <c r="A7" s="3" t="s">
        <v>34</v>
      </c>
      <c r="B7" s="4" t="s">
        <v>34</v>
      </c>
      <c r="C7" s="5" t="s">
        <v>18</v>
      </c>
      <c r="D7" s="6" t="s">
        <v>35</v>
      </c>
      <c r="E7" s="6" t="s">
        <v>352</v>
      </c>
      <c r="F7" s="6" t="str">
        <f t="shared" si="0"/>
        <v>Зеркало боковое с обогревом 365×180 мм</v>
      </c>
      <c r="G7" s="6" t="s">
        <v>36</v>
      </c>
      <c r="H7" s="6"/>
      <c r="I7" s="6"/>
      <c r="J7" s="6" t="s">
        <v>37</v>
      </c>
      <c r="K7" s="6"/>
      <c r="L7" s="6"/>
      <c r="M7" s="6"/>
      <c r="N7" s="4" t="s">
        <v>16</v>
      </c>
      <c r="O7" s="6" t="s">
        <v>17</v>
      </c>
    </row>
    <row r="8" spans="1:15" s="3" customFormat="1" ht="28.8" x14ac:dyDescent="0.3">
      <c r="A8" s="3" t="s">
        <v>38</v>
      </c>
      <c r="B8" s="4" t="s">
        <v>38</v>
      </c>
      <c r="C8" s="5" t="s">
        <v>18</v>
      </c>
      <c r="D8" s="6" t="s">
        <v>39</v>
      </c>
      <c r="E8" s="6" t="s">
        <v>352</v>
      </c>
      <c r="F8" s="6" t="str">
        <f t="shared" si="0"/>
        <v>Зеркало заднего вида  боковое на дугу360×180 мм</v>
      </c>
      <c r="G8" s="6" t="s">
        <v>40</v>
      </c>
      <c r="H8" s="6"/>
      <c r="I8" s="6"/>
      <c r="J8" s="6" t="s">
        <v>41</v>
      </c>
      <c r="K8" s="6"/>
      <c r="L8" s="6"/>
      <c r="M8" s="6"/>
      <c r="N8" s="4" t="s">
        <v>16</v>
      </c>
      <c r="O8" s="6" t="s">
        <v>17</v>
      </c>
    </row>
    <row r="9" spans="1:15" s="3" customFormat="1" ht="43.2" x14ac:dyDescent="0.3">
      <c r="A9" s="3" t="s">
        <v>42</v>
      </c>
      <c r="B9" s="4" t="s">
        <v>43</v>
      </c>
      <c r="C9" s="5" t="s">
        <v>18</v>
      </c>
      <c r="D9" s="6" t="s">
        <v>44</v>
      </c>
      <c r="E9" s="6" t="s">
        <v>352</v>
      </c>
      <c r="F9" s="6" t="str">
        <f t="shared" si="0"/>
        <v>Зеркало заднего вида боковое  сферическое, пластмассовое435×215 мм</v>
      </c>
      <c r="G9" s="6" t="s">
        <v>45</v>
      </c>
      <c r="H9" s="6"/>
      <c r="I9" s="6"/>
      <c r="J9" s="6" t="s">
        <v>46</v>
      </c>
      <c r="K9" s="6"/>
      <c r="L9" s="6"/>
      <c r="M9" s="6"/>
      <c r="N9" s="4" t="s">
        <v>16</v>
      </c>
      <c r="O9" s="6" t="s">
        <v>17</v>
      </c>
    </row>
    <row r="10" spans="1:15" s="3" customFormat="1" ht="43.2" x14ac:dyDescent="0.3">
      <c r="A10" s="3" t="s">
        <v>43</v>
      </c>
      <c r="B10" s="4" t="s">
        <v>43</v>
      </c>
      <c r="C10" s="5" t="s">
        <v>18</v>
      </c>
      <c r="D10" s="6" t="s">
        <v>47</v>
      </c>
      <c r="E10" s="6" t="s">
        <v>352</v>
      </c>
      <c r="F10" s="6" t="str">
        <f t="shared" si="0"/>
        <v>Зеркало заднего вида боковое  сферическое, пластмассовое435×215 мм</v>
      </c>
      <c r="G10" s="6" t="s">
        <v>45</v>
      </c>
      <c r="H10" s="6"/>
      <c r="I10" s="6"/>
      <c r="J10" s="6" t="s">
        <v>46</v>
      </c>
      <c r="K10" s="6"/>
      <c r="L10" s="6"/>
      <c r="M10" s="6"/>
      <c r="N10" s="4">
        <v>0</v>
      </c>
      <c r="O10" s="6" t="s">
        <v>17</v>
      </c>
    </row>
    <row r="11" spans="1:15" s="3" customFormat="1" ht="28.8" x14ac:dyDescent="0.3">
      <c r="A11" s="3" t="s">
        <v>48</v>
      </c>
      <c r="B11" s="4" t="s">
        <v>48</v>
      </c>
      <c r="C11" s="5" t="s">
        <v>18</v>
      </c>
      <c r="D11" s="6" t="s">
        <v>49</v>
      </c>
      <c r="E11" s="6" t="s">
        <v>352</v>
      </c>
      <c r="F11" s="6" t="str">
        <f t="shared" si="0"/>
        <v>Зеркало заднего вида боковое  360×180 мм</v>
      </c>
      <c r="G11" s="6" t="s">
        <v>50</v>
      </c>
      <c r="H11" s="6"/>
      <c r="I11" s="6"/>
      <c r="J11" s="6" t="s">
        <v>41</v>
      </c>
      <c r="K11" s="6"/>
      <c r="L11" s="6"/>
      <c r="M11" s="6"/>
      <c r="N11" s="4">
        <v>0</v>
      </c>
      <c r="O11" s="6" t="s">
        <v>17</v>
      </c>
    </row>
    <row r="12" spans="1:15" s="3" customFormat="1" x14ac:dyDescent="0.3">
      <c r="A12" s="3" t="s">
        <v>51</v>
      </c>
      <c r="B12" s="4" t="s">
        <v>51</v>
      </c>
      <c r="C12" s="5" t="s">
        <v>18</v>
      </c>
      <c r="D12" s="6" t="s">
        <v>52</v>
      </c>
      <c r="E12" s="6" t="s">
        <v>352</v>
      </c>
      <c r="F12" s="6" t="str">
        <f t="shared" si="0"/>
        <v>Зеркало заднего обзора</v>
      </c>
      <c r="G12" s="6" t="s">
        <v>52</v>
      </c>
      <c r="H12" s="6"/>
      <c r="I12" s="6"/>
      <c r="J12" s="6"/>
      <c r="K12" s="6"/>
      <c r="L12" s="6"/>
      <c r="M12" s="6"/>
      <c r="N12" s="4" t="s">
        <v>16</v>
      </c>
      <c r="O12" s="6" t="s">
        <v>17</v>
      </c>
    </row>
    <row r="13" spans="1:15" s="3" customFormat="1" ht="28.8" x14ac:dyDescent="0.3">
      <c r="A13" s="3" t="s">
        <v>53</v>
      </c>
      <c r="B13" s="4" t="s">
        <v>53</v>
      </c>
      <c r="C13" s="5" t="s">
        <v>18</v>
      </c>
      <c r="D13" s="6" t="s">
        <v>54</v>
      </c>
      <c r="E13" s="6" t="s">
        <v>352</v>
      </c>
      <c r="F13" s="6" t="str">
        <f t="shared" si="0"/>
        <v>Зеркало МИР в раме МДФ 354×15×955 мм</v>
      </c>
      <c r="G13" s="6" t="s">
        <v>55</v>
      </c>
      <c r="H13" s="6"/>
      <c r="I13" s="6"/>
      <c r="J13" s="6" t="s">
        <v>56</v>
      </c>
      <c r="K13" s="6"/>
      <c r="L13" s="6"/>
      <c r="M13" s="6"/>
      <c r="N13" s="4" t="s">
        <v>16</v>
      </c>
      <c r="O13" s="6" t="s">
        <v>17</v>
      </c>
    </row>
    <row r="14" spans="1:15" s="3" customFormat="1" ht="28.8" x14ac:dyDescent="0.3">
      <c r="A14" s="3" t="s">
        <v>57</v>
      </c>
      <c r="B14" s="4" t="s">
        <v>53</v>
      </c>
      <c r="C14" s="5" t="s">
        <v>18</v>
      </c>
      <c r="D14" s="6" t="s">
        <v>54</v>
      </c>
      <c r="E14" s="6" t="s">
        <v>352</v>
      </c>
      <c r="F14" s="6" t="str">
        <f t="shared" si="0"/>
        <v>Зеркало МИР в раме МДФ 354×15×955 мм</v>
      </c>
      <c r="G14" s="6" t="s">
        <v>55</v>
      </c>
      <c r="H14" s="6"/>
      <c r="I14" s="6"/>
      <c r="J14" s="6" t="s">
        <v>56</v>
      </c>
      <c r="K14" s="6"/>
      <c r="L14" s="6"/>
      <c r="M14" s="6"/>
      <c r="N14" s="4" t="s">
        <v>16</v>
      </c>
      <c r="O14" s="6" t="s">
        <v>17</v>
      </c>
    </row>
    <row r="15" spans="1:15" s="3" customFormat="1" x14ac:dyDescent="0.3">
      <c r="A15" s="3" t="s">
        <v>58</v>
      </c>
      <c r="B15" s="4" t="s">
        <v>58</v>
      </c>
      <c r="C15" s="5" t="s">
        <v>18</v>
      </c>
      <c r="D15" s="6" t="s">
        <v>59</v>
      </c>
      <c r="E15" s="6" t="s">
        <v>352</v>
      </c>
      <c r="F15" s="6" t="str">
        <f t="shared" si="0"/>
        <v>Зеркало навесное Классик-4</v>
      </c>
      <c r="G15" s="6" t="s">
        <v>59</v>
      </c>
      <c r="H15" s="6"/>
      <c r="I15" s="6"/>
      <c r="J15" s="6"/>
      <c r="K15" s="6"/>
      <c r="L15" s="6"/>
      <c r="M15" s="6"/>
      <c r="N15" s="4" t="s">
        <v>16</v>
      </c>
      <c r="O15" s="6" t="s">
        <v>17</v>
      </c>
    </row>
    <row r="16" spans="1:15" s="3" customFormat="1" x14ac:dyDescent="0.3">
      <c r="A16" s="3" t="s">
        <v>60</v>
      </c>
      <c r="B16" s="4" t="s">
        <v>60</v>
      </c>
      <c r="C16" s="5" t="s">
        <v>18</v>
      </c>
      <c r="D16" s="6" t="s">
        <v>61</v>
      </c>
      <c r="E16" s="6" t="s">
        <v>352</v>
      </c>
      <c r="F16" s="6" t="str">
        <f t="shared" si="0"/>
        <v>Зеркало настенное805×498 мм</v>
      </c>
      <c r="G16" s="6" t="s">
        <v>62</v>
      </c>
      <c r="H16" s="6"/>
      <c r="I16" s="6"/>
      <c r="J16" s="6" t="s">
        <v>63</v>
      </c>
      <c r="K16" s="6"/>
      <c r="L16" s="6"/>
      <c r="M16" s="6"/>
      <c r="N16" s="4" t="s">
        <v>16</v>
      </c>
      <c r="O16" s="6" t="s">
        <v>17</v>
      </c>
    </row>
    <row r="17" spans="1:15" s="3" customFormat="1" x14ac:dyDescent="0.3">
      <c r="A17" s="3" t="s">
        <v>64</v>
      </c>
      <c r="B17" s="4" t="s">
        <v>64</v>
      </c>
      <c r="C17" s="5" t="s">
        <v>14</v>
      </c>
      <c r="D17" s="6" t="s">
        <v>65</v>
      </c>
      <c r="E17" s="6" t="s">
        <v>352</v>
      </c>
      <c r="F17" s="6" t="str">
        <f t="shared" si="0"/>
        <v>Зеркало серебро 4мм</v>
      </c>
      <c r="G17" s="6" t="s">
        <v>66</v>
      </c>
      <c r="H17" s="6"/>
      <c r="I17" s="6"/>
      <c r="J17" s="6" t="s">
        <v>67</v>
      </c>
      <c r="K17" s="6"/>
      <c r="L17" s="6"/>
      <c r="M17" s="6"/>
      <c r="N17" s="4">
        <v>0</v>
      </c>
      <c r="O17" s="6" t="s">
        <v>17</v>
      </c>
    </row>
    <row r="18" spans="1:15" s="3" customFormat="1" x14ac:dyDescent="0.3">
      <c r="A18" s="3" t="s">
        <v>68</v>
      </c>
      <c r="B18" s="4" t="s">
        <v>68</v>
      </c>
      <c r="C18" s="5" t="s">
        <v>18</v>
      </c>
      <c r="D18" s="6" t="s">
        <v>69</v>
      </c>
      <c r="E18" s="6" t="s">
        <v>352</v>
      </c>
      <c r="F18" s="6" t="str">
        <f t="shared" si="0"/>
        <v>Зеркало техническое 650×450×4 мм</v>
      </c>
      <c r="G18" s="6" t="s">
        <v>70</v>
      </c>
      <c r="H18" s="6"/>
      <c r="I18" s="6"/>
      <c r="J18" s="6" t="s">
        <v>71</v>
      </c>
      <c r="K18" s="6"/>
      <c r="L18" s="6"/>
      <c r="M18" s="6"/>
      <c r="N18" s="4" t="s">
        <v>16</v>
      </c>
      <c r="O18" s="6" t="s">
        <v>17</v>
      </c>
    </row>
    <row r="19" spans="1:15" s="3" customFormat="1" ht="28.8" x14ac:dyDescent="0.3">
      <c r="A19" s="3" t="s">
        <v>72</v>
      </c>
      <c r="B19" s="4" t="s">
        <v>72</v>
      </c>
      <c r="C19" s="5" t="s">
        <v>18</v>
      </c>
      <c r="D19" s="6" t="s">
        <v>73</v>
      </c>
      <c r="E19" s="6" t="s">
        <v>352</v>
      </c>
      <c r="F19" s="6" t="str">
        <f t="shared" si="0"/>
        <v>Зеркало техническое заднего вида 600×450 мм</v>
      </c>
      <c r="G19" s="6" t="s">
        <v>74</v>
      </c>
      <c r="H19" s="6"/>
      <c r="I19" s="6"/>
      <c r="J19" s="6" t="s">
        <v>75</v>
      </c>
      <c r="K19" s="6"/>
      <c r="L19" s="6"/>
      <c r="M19" s="6"/>
      <c r="N19" s="4">
        <v>0</v>
      </c>
      <c r="O19" s="6" t="s">
        <v>17</v>
      </c>
    </row>
    <row r="20" spans="1:15" s="3" customFormat="1" x14ac:dyDescent="0.3">
      <c r="A20" s="3" t="s">
        <v>76</v>
      </c>
      <c r="B20" s="4" t="s">
        <v>76</v>
      </c>
      <c r="C20" s="5" t="s">
        <v>18</v>
      </c>
      <c r="D20" s="6" t="s">
        <v>77</v>
      </c>
      <c r="E20" s="6" t="s">
        <v>352</v>
      </c>
      <c r="F20" s="6" t="str">
        <f t="shared" si="0"/>
        <v>Зеркалодержатель</v>
      </c>
      <c r="G20" s="6" t="s">
        <v>77</v>
      </c>
      <c r="H20" s="6"/>
      <c r="I20" s="6"/>
      <c r="J20" s="6"/>
      <c r="K20" s="6"/>
      <c r="L20" s="6"/>
      <c r="M20" s="6"/>
      <c r="N20" s="4" t="s">
        <v>16</v>
      </c>
      <c r="O20" s="6" t="s">
        <v>17</v>
      </c>
    </row>
    <row r="21" spans="1:15" s="3" customFormat="1" x14ac:dyDescent="0.3">
      <c r="A21" s="3" t="s">
        <v>78</v>
      </c>
      <c r="B21" s="4" t="s">
        <v>78</v>
      </c>
      <c r="C21" s="5" t="s">
        <v>18</v>
      </c>
      <c r="D21" s="6" t="s">
        <v>79</v>
      </c>
      <c r="E21" s="6" t="s">
        <v>352</v>
      </c>
      <c r="F21" s="6" t="str">
        <f t="shared" si="0"/>
        <v>Зеркальное полотно V6 162×340 мм</v>
      </c>
      <c r="G21" s="6" t="s">
        <v>80</v>
      </c>
      <c r="H21" s="6"/>
      <c r="I21" s="6"/>
      <c r="J21" s="6" t="s">
        <v>81</v>
      </c>
      <c r="K21" s="6"/>
      <c r="L21" s="6"/>
      <c r="M21" s="6"/>
      <c r="N21" s="4">
        <v>0</v>
      </c>
      <c r="O21" s="6" t="s">
        <v>17</v>
      </c>
    </row>
    <row r="22" spans="1:15" s="3" customFormat="1" x14ac:dyDescent="0.3">
      <c r="A22" s="3" t="s">
        <v>82</v>
      </c>
      <c r="B22" s="4" t="s">
        <v>82</v>
      </c>
      <c r="C22" s="5" t="s">
        <v>18</v>
      </c>
      <c r="D22" s="6" t="s">
        <v>83</v>
      </c>
      <c r="E22" s="6" t="s">
        <v>352</v>
      </c>
      <c r="F22" s="6" t="str">
        <f t="shared" si="0"/>
        <v>Изделие остекления боковое ТЭМ7А-2Р</v>
      </c>
      <c r="G22" s="6" t="s">
        <v>84</v>
      </c>
      <c r="H22" s="6"/>
      <c r="I22" s="6" t="s">
        <v>85</v>
      </c>
      <c r="J22" s="6"/>
      <c r="K22" s="6"/>
      <c r="L22" s="6"/>
      <c r="M22" s="6"/>
      <c r="N22" s="4">
        <v>0</v>
      </c>
      <c r="O22" s="6" t="s">
        <v>17</v>
      </c>
    </row>
    <row r="23" spans="1:15" s="3" customFormat="1" x14ac:dyDescent="0.3">
      <c r="A23" s="3" t="s">
        <v>86</v>
      </c>
      <c r="B23" s="4" t="s">
        <v>86</v>
      </c>
      <c r="C23" s="5" t="s">
        <v>18</v>
      </c>
      <c r="D23" s="6" t="s">
        <v>87</v>
      </c>
      <c r="E23" s="6" t="s">
        <v>352</v>
      </c>
      <c r="F23" s="6" t="str">
        <f t="shared" si="0"/>
        <v>Изделие остекления боковое ТЭМ7А-6Р</v>
      </c>
      <c r="G23" s="6" t="s">
        <v>84</v>
      </c>
      <c r="H23" s="6"/>
      <c r="I23" s="6" t="s">
        <v>88</v>
      </c>
      <c r="J23" s="6"/>
      <c r="K23" s="6"/>
      <c r="L23" s="6"/>
      <c r="M23" s="6"/>
      <c r="N23" s="4">
        <v>0</v>
      </c>
      <c r="O23" s="6" t="s">
        <v>17</v>
      </c>
    </row>
    <row r="24" spans="1:15" s="3" customFormat="1" ht="28.8" x14ac:dyDescent="0.3">
      <c r="A24" s="3" t="s">
        <v>89</v>
      </c>
      <c r="B24" s="4" t="s">
        <v>89</v>
      </c>
      <c r="C24" s="5" t="s">
        <v>18</v>
      </c>
      <c r="D24" s="6" t="s">
        <v>90</v>
      </c>
      <c r="E24" s="6" t="s">
        <v>352</v>
      </c>
      <c r="F24" s="6" t="str">
        <f t="shared" si="0"/>
        <v>Изделие остекления окна двери ТЭМ7А-3Р</v>
      </c>
      <c r="G24" s="6" t="s">
        <v>91</v>
      </c>
      <c r="H24" s="6"/>
      <c r="I24" s="6" t="s">
        <v>92</v>
      </c>
      <c r="J24" s="6"/>
      <c r="K24" s="6"/>
      <c r="L24" s="6"/>
      <c r="M24" s="6"/>
      <c r="N24" s="4" t="s">
        <v>16</v>
      </c>
      <c r="O24" s="6" t="s">
        <v>17</v>
      </c>
    </row>
    <row r="25" spans="1:15" s="3" customFormat="1" x14ac:dyDescent="0.3">
      <c r="A25" s="3" t="s">
        <v>93</v>
      </c>
      <c r="B25" s="4" t="s">
        <v>93</v>
      </c>
      <c r="C25" s="5" t="s">
        <v>18</v>
      </c>
      <c r="D25" s="6" t="s">
        <v>94</v>
      </c>
      <c r="E25" s="6" t="s">
        <v>352</v>
      </c>
      <c r="F25" s="6" t="str">
        <f t="shared" si="0"/>
        <v>Изделие остекления окнаТЭМ7А-4Р</v>
      </c>
      <c r="G25" s="6" t="s">
        <v>95</v>
      </c>
      <c r="H25" s="6"/>
      <c r="I25" s="6" t="s">
        <v>96</v>
      </c>
      <c r="J25" s="6"/>
      <c r="K25" s="6"/>
      <c r="L25" s="6"/>
      <c r="M25" s="6"/>
      <c r="N25" s="4">
        <v>0</v>
      </c>
      <c r="O25" s="6" t="s">
        <v>17</v>
      </c>
    </row>
    <row r="26" spans="1:15" s="3" customFormat="1" x14ac:dyDescent="0.3">
      <c r="A26" s="3" t="s">
        <v>97</v>
      </c>
      <c r="B26" s="4" t="s">
        <v>97</v>
      </c>
      <c r="C26" s="5" t="s">
        <v>18</v>
      </c>
      <c r="D26" s="6" t="s">
        <v>98</v>
      </c>
      <c r="E26" s="6" t="s">
        <v>352</v>
      </c>
      <c r="F26" s="6" t="str">
        <f t="shared" si="0"/>
        <v>Изделие остекления ОТИ 2276</v>
      </c>
      <c r="G26" s="6" t="s">
        <v>99</v>
      </c>
      <c r="H26" s="6"/>
      <c r="I26" s="6" t="s">
        <v>100</v>
      </c>
      <c r="J26" s="6"/>
      <c r="K26" s="6"/>
      <c r="L26" s="6"/>
      <c r="M26" s="6"/>
      <c r="N26" s="4" t="s">
        <v>16</v>
      </c>
      <c r="O26" s="6" t="s">
        <v>17</v>
      </c>
    </row>
    <row r="27" spans="1:15" s="3" customFormat="1" x14ac:dyDescent="0.3">
      <c r="A27" s="3" t="s">
        <v>101</v>
      </c>
      <c r="B27" s="4" t="s">
        <v>101</v>
      </c>
      <c r="C27" s="5" t="s">
        <v>18</v>
      </c>
      <c r="D27" s="6" t="s">
        <v>102</v>
      </c>
      <c r="E27" s="6" t="s">
        <v>352</v>
      </c>
      <c r="F27" s="6" t="str">
        <f t="shared" si="0"/>
        <v>Изделие остекления ОТИ 2277</v>
      </c>
      <c r="G27" s="6" t="s">
        <v>99</v>
      </c>
      <c r="H27" s="6"/>
      <c r="I27" s="6" t="s">
        <v>103</v>
      </c>
      <c r="J27" s="6"/>
      <c r="K27" s="6"/>
      <c r="L27" s="6"/>
      <c r="M27" s="6"/>
      <c r="N27" s="4" t="s">
        <v>16</v>
      </c>
      <c r="O27" s="6" t="s">
        <v>17</v>
      </c>
    </row>
    <row r="28" spans="1:15" s="3" customFormat="1" ht="28.8" x14ac:dyDescent="0.3">
      <c r="A28" s="3" t="s">
        <v>104</v>
      </c>
      <c r="B28" s="4" t="s">
        <v>104</v>
      </c>
      <c r="C28" s="5" t="s">
        <v>18</v>
      </c>
      <c r="D28" s="6" t="s">
        <v>105</v>
      </c>
      <c r="E28" s="6" t="s">
        <v>352</v>
      </c>
      <c r="F28" s="6" t="str">
        <f t="shared" si="0"/>
        <v>Изделие остекления ОТИ961 ТУ.черт. ОТИ 2257</v>
      </c>
      <c r="G28" s="6" t="s">
        <v>99</v>
      </c>
      <c r="H28" s="6"/>
      <c r="I28" s="6" t="s">
        <v>106</v>
      </c>
      <c r="J28" s="6"/>
      <c r="K28" s="6"/>
      <c r="L28" s="6"/>
      <c r="M28" s="6"/>
      <c r="N28" s="4" t="s">
        <v>16</v>
      </c>
      <c r="O28" s="6" t="s">
        <v>17</v>
      </c>
    </row>
    <row r="29" spans="1:15" s="3" customFormat="1" x14ac:dyDescent="0.3">
      <c r="A29" s="3" t="s">
        <v>107</v>
      </c>
      <c r="B29" s="4" t="s">
        <v>107</v>
      </c>
      <c r="C29" s="5" t="s">
        <v>18</v>
      </c>
      <c r="D29" s="6" t="s">
        <v>108</v>
      </c>
      <c r="E29" s="6" t="s">
        <v>352</v>
      </c>
      <c r="F29" s="6" t="str">
        <f t="shared" si="0"/>
        <v>Оргстекло3 мм</v>
      </c>
      <c r="G29" s="6" t="s">
        <v>109</v>
      </c>
      <c r="H29" s="6"/>
      <c r="I29" s="6"/>
      <c r="J29" s="6" t="s">
        <v>110</v>
      </c>
      <c r="K29" s="6"/>
      <c r="L29" s="6"/>
      <c r="M29" s="6"/>
      <c r="N29" s="4">
        <v>2216220301</v>
      </c>
      <c r="O29" s="6" t="s">
        <v>17</v>
      </c>
    </row>
    <row r="30" spans="1:15" s="3" customFormat="1" x14ac:dyDescent="0.3">
      <c r="A30" s="3" t="s">
        <v>111</v>
      </c>
      <c r="B30" s="4" t="s">
        <v>111</v>
      </c>
      <c r="C30" s="5" t="s">
        <v>18</v>
      </c>
      <c r="D30" s="6" t="s">
        <v>112</v>
      </c>
      <c r="E30" s="6" t="s">
        <v>352</v>
      </c>
      <c r="F30" s="6" t="str">
        <f t="shared" si="0"/>
        <v>Оргстекло 4 мм</v>
      </c>
      <c r="G30" s="6" t="s">
        <v>113</v>
      </c>
      <c r="H30" s="6"/>
      <c r="I30" s="6"/>
      <c r="J30" s="6" t="s">
        <v>114</v>
      </c>
      <c r="K30" s="6"/>
      <c r="L30" s="6"/>
      <c r="M30" s="6"/>
      <c r="N30" s="4">
        <v>2216220207</v>
      </c>
      <c r="O30" s="6" t="s">
        <v>17</v>
      </c>
    </row>
    <row r="31" spans="1:15" s="3" customFormat="1" x14ac:dyDescent="0.3">
      <c r="A31" s="3" t="s">
        <v>115</v>
      </c>
      <c r="B31" s="4" t="s">
        <v>115</v>
      </c>
      <c r="C31" s="5" t="s">
        <v>18</v>
      </c>
      <c r="D31" s="6" t="s">
        <v>116</v>
      </c>
      <c r="E31" s="6" t="s">
        <v>352</v>
      </c>
      <c r="F31" s="6" t="str">
        <f t="shared" si="0"/>
        <v>Пластина поликарбонат110х90</v>
      </c>
      <c r="G31" s="6" t="s">
        <v>117</v>
      </c>
      <c r="H31" s="6"/>
      <c r="I31" s="6"/>
      <c r="J31" s="6" t="s">
        <v>118</v>
      </c>
      <c r="K31" s="6"/>
      <c r="L31" s="6"/>
      <c r="M31" s="6"/>
      <c r="N31" s="4" t="s">
        <v>16</v>
      </c>
      <c r="O31" s="6" t="s">
        <v>17</v>
      </c>
    </row>
    <row r="32" spans="1:15" s="3" customFormat="1" x14ac:dyDescent="0.3">
      <c r="A32" s="3" t="s">
        <v>119</v>
      </c>
      <c r="B32" s="4" t="s">
        <v>119</v>
      </c>
      <c r="C32" s="5" t="s">
        <v>18</v>
      </c>
      <c r="D32" s="6" t="s">
        <v>120</v>
      </c>
      <c r="E32" s="6" t="s">
        <v>352</v>
      </c>
      <c r="F32" s="6" t="str">
        <f t="shared" si="0"/>
        <v>Пластина поликарбонат113х114</v>
      </c>
      <c r="G32" s="6" t="s">
        <v>117</v>
      </c>
      <c r="H32" s="6"/>
      <c r="I32" s="6"/>
      <c r="J32" s="6" t="s">
        <v>121</v>
      </c>
      <c r="K32" s="6"/>
      <c r="L32" s="6"/>
      <c r="M32" s="6"/>
      <c r="N32" s="4" t="s">
        <v>16</v>
      </c>
      <c r="O32" s="6" t="s">
        <v>17</v>
      </c>
    </row>
    <row r="33" spans="1:15" s="3" customFormat="1" x14ac:dyDescent="0.3">
      <c r="A33" s="3" t="s">
        <v>122</v>
      </c>
      <c r="B33" s="4" t="s">
        <v>123</v>
      </c>
      <c r="C33" s="5" t="s">
        <v>18</v>
      </c>
      <c r="D33" s="6" t="s">
        <v>124</v>
      </c>
      <c r="E33" s="6" t="s">
        <v>352</v>
      </c>
      <c r="F33" s="6" t="str">
        <f t="shared" si="0"/>
        <v>Сталинит плоский 778×380 мм</v>
      </c>
      <c r="G33" s="6" t="s">
        <v>125</v>
      </c>
      <c r="H33" s="6"/>
      <c r="I33" s="6"/>
      <c r="J33" s="6" t="s">
        <v>126</v>
      </c>
      <c r="K33" s="6"/>
      <c r="L33" s="6"/>
      <c r="M33" s="6"/>
      <c r="N33" s="4" t="s">
        <v>16</v>
      </c>
      <c r="O33" s="6" t="s">
        <v>17</v>
      </c>
    </row>
    <row r="34" spans="1:15" s="3" customFormat="1" x14ac:dyDescent="0.3">
      <c r="A34" s="3" t="s">
        <v>127</v>
      </c>
      <c r="B34" s="4" t="s">
        <v>128</v>
      </c>
      <c r="C34" s="5" t="s">
        <v>18</v>
      </c>
      <c r="D34" s="6" t="s">
        <v>129</v>
      </c>
      <c r="E34" s="6" t="s">
        <v>352</v>
      </c>
      <c r="F34" s="6" t="str">
        <f t="shared" si="0"/>
        <v>Сталинит плоский 782×458 мм</v>
      </c>
      <c r="G34" s="6" t="s">
        <v>125</v>
      </c>
      <c r="H34" s="6"/>
      <c r="I34" s="6"/>
      <c r="J34" s="6" t="s">
        <v>130</v>
      </c>
      <c r="K34" s="6"/>
      <c r="L34" s="6"/>
      <c r="M34" s="6"/>
      <c r="N34" s="4">
        <v>0</v>
      </c>
      <c r="O34" s="6" t="s">
        <v>17</v>
      </c>
    </row>
    <row r="35" spans="1:15" s="3" customFormat="1" x14ac:dyDescent="0.3">
      <c r="A35" s="3" t="s">
        <v>131</v>
      </c>
      <c r="B35" s="4" t="s">
        <v>132</v>
      </c>
      <c r="C35" s="5" t="s">
        <v>18</v>
      </c>
      <c r="D35" s="6" t="s">
        <v>133</v>
      </c>
      <c r="E35" s="6" t="s">
        <v>352</v>
      </c>
      <c r="F35" s="6" t="str">
        <f t="shared" si="0"/>
        <v>Сталинит плоский 804×128×5 мм</v>
      </c>
      <c r="G35" s="6" t="s">
        <v>125</v>
      </c>
      <c r="H35" s="6"/>
      <c r="I35" s="6"/>
      <c r="J35" s="6" t="s">
        <v>134</v>
      </c>
      <c r="K35" s="6"/>
      <c r="L35" s="6"/>
      <c r="M35" s="6"/>
      <c r="N35" s="4" t="s">
        <v>16</v>
      </c>
      <c r="O35" s="6" t="s">
        <v>17</v>
      </c>
    </row>
    <row r="36" spans="1:15" s="3" customFormat="1" ht="28.8" x14ac:dyDescent="0.3">
      <c r="A36" s="3" t="s">
        <v>135</v>
      </c>
      <c r="B36" s="4" t="s">
        <v>135</v>
      </c>
      <c r="C36" s="5" t="s">
        <v>18</v>
      </c>
      <c r="D36" s="6" t="s">
        <v>136</v>
      </c>
      <c r="E36" s="6" t="s">
        <v>352</v>
      </c>
      <c r="F36" s="6" t="str">
        <f t="shared" si="0"/>
        <v>Сталинит плоский 838×523×6 мм</v>
      </c>
      <c r="G36" s="6" t="s">
        <v>125</v>
      </c>
      <c r="H36" s="6"/>
      <c r="I36" s="6"/>
      <c r="J36" s="6" t="s">
        <v>137</v>
      </c>
      <c r="K36" s="6"/>
      <c r="L36" s="6"/>
      <c r="M36" s="6"/>
      <c r="N36" s="4">
        <v>3187170567</v>
      </c>
      <c r="O36" s="6" t="s">
        <v>17</v>
      </c>
    </row>
    <row r="37" spans="1:15" s="3" customFormat="1" x14ac:dyDescent="0.3">
      <c r="A37" s="3" t="s">
        <v>138</v>
      </c>
      <c r="B37" s="4" t="s">
        <v>138</v>
      </c>
      <c r="C37" s="5" t="s">
        <v>18</v>
      </c>
      <c r="D37" s="6" t="s">
        <v>139</v>
      </c>
      <c r="E37" s="6" t="s">
        <v>352</v>
      </c>
      <c r="F37" s="6" t="str">
        <f t="shared" si="0"/>
        <v>СтеклоМАС.152.00.000</v>
      </c>
      <c r="G37" s="6" t="s">
        <v>140</v>
      </c>
      <c r="H37" s="6"/>
      <c r="I37" s="6" t="s">
        <v>141</v>
      </c>
      <c r="J37" s="6"/>
      <c r="K37" s="6"/>
      <c r="L37" s="6"/>
      <c r="M37" s="6"/>
      <c r="N37" s="4" t="s">
        <v>16</v>
      </c>
      <c r="O37" s="6" t="s">
        <v>17</v>
      </c>
    </row>
    <row r="38" spans="1:15" s="3" customFormat="1" x14ac:dyDescent="0.3">
      <c r="A38" s="3" t="s">
        <v>142</v>
      </c>
      <c r="B38" s="4" t="s">
        <v>142</v>
      </c>
      <c r="C38" s="5" t="s">
        <v>18</v>
      </c>
      <c r="D38" s="6" t="s">
        <v>143</v>
      </c>
      <c r="E38" s="6" t="s">
        <v>352</v>
      </c>
      <c r="F38" s="6" t="str">
        <f t="shared" si="0"/>
        <v>СтеклоМАС.153.00.000</v>
      </c>
      <c r="G38" s="6" t="s">
        <v>140</v>
      </c>
      <c r="H38" s="6"/>
      <c r="I38" s="6" t="s">
        <v>144</v>
      </c>
      <c r="J38" s="6"/>
      <c r="K38" s="6"/>
      <c r="L38" s="6"/>
      <c r="M38" s="6"/>
      <c r="N38" s="4" t="s">
        <v>16</v>
      </c>
      <c r="O38" s="6" t="s">
        <v>17</v>
      </c>
    </row>
    <row r="39" spans="1:15" s="3" customFormat="1" ht="28.8" x14ac:dyDescent="0.3">
      <c r="A39" s="3" t="s">
        <v>128</v>
      </c>
      <c r="B39" s="4" t="s">
        <v>128</v>
      </c>
      <c r="C39" s="5" t="s">
        <v>18</v>
      </c>
      <c r="D39" s="6" t="s">
        <v>145</v>
      </c>
      <c r="E39" s="6" t="s">
        <v>352</v>
      </c>
      <c r="F39" s="6" t="str">
        <f t="shared" si="0"/>
        <v>СтеклоМТ934 (4.02.79.70.067)782×458×55 мм</v>
      </c>
      <c r="G39" s="6" t="s">
        <v>140</v>
      </c>
      <c r="H39" s="6"/>
      <c r="I39" s="6" t="s">
        <v>146</v>
      </c>
      <c r="J39" s="6" t="s">
        <v>147</v>
      </c>
      <c r="K39" s="6"/>
      <c r="L39" s="6"/>
      <c r="M39" s="6"/>
      <c r="N39" s="4" t="s">
        <v>16</v>
      </c>
      <c r="O39" s="6" t="s">
        <v>17</v>
      </c>
    </row>
    <row r="40" spans="1:15" s="3" customFormat="1" ht="28.8" x14ac:dyDescent="0.3">
      <c r="A40" s="3" t="s">
        <v>123</v>
      </c>
      <c r="B40" s="4" t="s">
        <v>123</v>
      </c>
      <c r="C40" s="5" t="s">
        <v>18</v>
      </c>
      <c r="D40" s="6" t="s">
        <v>148</v>
      </c>
      <c r="E40" s="6" t="s">
        <v>352</v>
      </c>
      <c r="F40" s="6" t="str">
        <f t="shared" si="0"/>
        <v>СтеклоМТ936 (4.02.79.70.059) 778×380×6 мм</v>
      </c>
      <c r="G40" s="6" t="s">
        <v>140</v>
      </c>
      <c r="H40" s="6"/>
      <c r="I40" s="6" t="s">
        <v>149</v>
      </c>
      <c r="J40" s="6" t="s">
        <v>150</v>
      </c>
      <c r="K40" s="6"/>
      <c r="L40" s="6"/>
      <c r="M40" s="6"/>
      <c r="N40" s="4" t="s">
        <v>16</v>
      </c>
      <c r="O40" s="6" t="s">
        <v>17</v>
      </c>
    </row>
    <row r="41" spans="1:15" s="3" customFormat="1" ht="28.8" x14ac:dyDescent="0.3">
      <c r="A41" s="3" t="s">
        <v>132</v>
      </c>
      <c r="B41" s="4" t="s">
        <v>132</v>
      </c>
      <c r="C41" s="5" t="s">
        <v>18</v>
      </c>
      <c r="D41" s="6" t="s">
        <v>151</v>
      </c>
      <c r="E41" s="6" t="s">
        <v>352</v>
      </c>
      <c r="F41" s="6" t="str">
        <f t="shared" si="0"/>
        <v>Стекло сталинитМТ937 (4.02.79.70.065)804×128 мм</v>
      </c>
      <c r="G41" s="6" t="s">
        <v>152</v>
      </c>
      <c r="H41" s="6" t="s">
        <v>153</v>
      </c>
      <c r="I41" s="6" t="s">
        <v>154</v>
      </c>
      <c r="J41" s="6" t="s">
        <v>155</v>
      </c>
      <c r="K41" s="6"/>
      <c r="L41" s="6"/>
      <c r="M41" s="6"/>
      <c r="N41" s="4">
        <v>3187172894</v>
      </c>
      <c r="O41" s="6" t="s">
        <v>17</v>
      </c>
    </row>
    <row r="42" spans="1:15" s="3" customFormat="1" x14ac:dyDescent="0.3">
      <c r="A42" s="3" t="s">
        <v>156</v>
      </c>
      <c r="B42" s="4" t="s">
        <v>156</v>
      </c>
      <c r="C42" s="5" t="s">
        <v>14</v>
      </c>
      <c r="D42" s="6" t="s">
        <v>157</v>
      </c>
      <c r="E42" s="6" t="s">
        <v>352</v>
      </c>
      <c r="F42" s="6" t="str">
        <f t="shared" si="0"/>
        <v>Стекло листовое3 мм</v>
      </c>
      <c r="G42" s="6" t="s">
        <v>158</v>
      </c>
      <c r="H42" s="6"/>
      <c r="I42" s="6"/>
      <c r="J42" s="6" t="s">
        <v>110</v>
      </c>
      <c r="K42" s="6"/>
      <c r="L42" s="6"/>
      <c r="M42" s="6"/>
      <c r="N42" s="4" t="s">
        <v>16</v>
      </c>
      <c r="O42" s="6" t="s">
        <v>17</v>
      </c>
    </row>
    <row r="43" spans="1:15" s="3" customFormat="1" x14ac:dyDescent="0.3">
      <c r="A43" s="3" t="s">
        <v>159</v>
      </c>
      <c r="B43" s="4" t="s">
        <v>159</v>
      </c>
      <c r="C43" s="5" t="s">
        <v>14</v>
      </c>
      <c r="D43" s="6" t="s">
        <v>160</v>
      </c>
      <c r="E43" s="6" t="s">
        <v>352</v>
      </c>
      <c r="F43" s="6" t="str">
        <f t="shared" si="0"/>
        <v>Стекло листовое4 мм</v>
      </c>
      <c r="G43" s="6" t="s">
        <v>158</v>
      </c>
      <c r="H43" s="6"/>
      <c r="I43" s="6"/>
      <c r="J43" s="6" t="s">
        <v>114</v>
      </c>
      <c r="K43" s="6"/>
      <c r="L43" s="6"/>
      <c r="M43" s="6"/>
      <c r="N43" s="4">
        <v>5911410102</v>
      </c>
      <c r="O43" s="6" t="s">
        <v>17</v>
      </c>
    </row>
    <row r="44" spans="1:15" s="3" customFormat="1" x14ac:dyDescent="0.3">
      <c r="A44" s="3" t="s">
        <v>161</v>
      </c>
      <c r="B44" s="4" t="s">
        <v>161</v>
      </c>
      <c r="C44" s="5" t="s">
        <v>18</v>
      </c>
      <c r="D44" s="6" t="s">
        <v>160</v>
      </c>
      <c r="E44" s="6" t="s">
        <v>352</v>
      </c>
      <c r="F44" s="6" t="str">
        <f t="shared" si="0"/>
        <v>Стекло листовое4 мм</v>
      </c>
      <c r="G44" s="6" t="s">
        <v>158</v>
      </c>
      <c r="H44" s="6"/>
      <c r="I44" s="6"/>
      <c r="J44" s="6" t="s">
        <v>114</v>
      </c>
      <c r="K44" s="6"/>
      <c r="L44" s="6"/>
      <c r="M44" s="6"/>
      <c r="N44" s="4">
        <v>5911410102</v>
      </c>
      <c r="O44" s="6" t="s">
        <v>17</v>
      </c>
    </row>
    <row r="45" spans="1:15" s="3" customFormat="1" x14ac:dyDescent="0.3">
      <c r="A45" s="3" t="s">
        <v>162</v>
      </c>
      <c r="B45" s="4" t="s">
        <v>162</v>
      </c>
      <c r="C45" s="5" t="s">
        <v>14</v>
      </c>
      <c r="D45" s="6" t="s">
        <v>163</v>
      </c>
      <c r="E45" s="6" t="s">
        <v>352</v>
      </c>
      <c r="F45" s="6" t="str">
        <f t="shared" si="0"/>
        <v>Стекло листовое полированное4 мм</v>
      </c>
      <c r="G45" s="6" t="s">
        <v>164</v>
      </c>
      <c r="H45" s="6"/>
      <c r="I45" s="6"/>
      <c r="J45" s="6" t="s">
        <v>114</v>
      </c>
      <c r="K45" s="6"/>
      <c r="L45" s="6"/>
      <c r="M45" s="6"/>
      <c r="N45" s="4">
        <v>5911410102</v>
      </c>
      <c r="O45" s="6" t="s">
        <v>17</v>
      </c>
    </row>
    <row r="46" spans="1:15" s="3" customFormat="1" x14ac:dyDescent="0.3">
      <c r="A46" s="3" t="s">
        <v>165</v>
      </c>
      <c r="B46" s="4" t="s">
        <v>165</v>
      </c>
      <c r="C46" s="5" t="s">
        <v>18</v>
      </c>
      <c r="D46" s="6" t="s">
        <v>166</v>
      </c>
      <c r="E46" s="6" t="s">
        <v>352</v>
      </c>
      <c r="F46" s="6" t="str">
        <f t="shared" si="0"/>
        <v>Стекло525×840 мм</v>
      </c>
      <c r="G46" s="6" t="s">
        <v>140</v>
      </c>
      <c r="H46" s="6"/>
      <c r="I46" s="6"/>
      <c r="J46" s="6" t="s">
        <v>167</v>
      </c>
      <c r="K46" s="6"/>
      <c r="L46" s="6"/>
      <c r="M46" s="6"/>
      <c r="N46" s="4">
        <v>5911410102</v>
      </c>
      <c r="O46" s="6" t="s">
        <v>17</v>
      </c>
    </row>
    <row r="47" spans="1:15" s="3" customFormat="1" x14ac:dyDescent="0.3">
      <c r="A47" s="3" t="s">
        <v>168</v>
      </c>
      <c r="B47" s="4" t="s">
        <v>168</v>
      </c>
      <c r="C47" s="5" t="s">
        <v>18</v>
      </c>
      <c r="D47" s="6" t="s">
        <v>169</v>
      </c>
      <c r="E47" s="6" t="s">
        <v>352</v>
      </c>
      <c r="F47" s="6" t="str">
        <f t="shared" si="0"/>
        <v>Стекло боковоесталинит475×415 мм</v>
      </c>
      <c r="G47" s="6" t="s">
        <v>170</v>
      </c>
      <c r="H47" s="6" t="s">
        <v>153</v>
      </c>
      <c r="I47" s="6"/>
      <c r="J47" s="6" t="s">
        <v>171</v>
      </c>
      <c r="K47" s="6"/>
      <c r="L47" s="6"/>
      <c r="M47" s="6"/>
      <c r="N47" s="4">
        <v>0</v>
      </c>
      <c r="O47" s="6" t="s">
        <v>17</v>
      </c>
    </row>
    <row r="48" spans="1:15" s="3" customFormat="1" x14ac:dyDescent="0.3">
      <c r="A48" s="3" t="s">
        <v>172</v>
      </c>
      <c r="B48" s="4" t="s">
        <v>172</v>
      </c>
      <c r="C48" s="5" t="s">
        <v>18</v>
      </c>
      <c r="D48" s="6" t="s">
        <v>173</v>
      </c>
      <c r="E48" s="6" t="s">
        <v>352</v>
      </c>
      <c r="F48" s="6" t="str">
        <f t="shared" si="0"/>
        <v>Стекло буферное460×210 мм</v>
      </c>
      <c r="G48" s="6" t="s">
        <v>174</v>
      </c>
      <c r="H48" s="6"/>
      <c r="I48" s="6"/>
      <c r="J48" s="6" t="s">
        <v>175</v>
      </c>
      <c r="K48" s="6"/>
      <c r="L48" s="6"/>
      <c r="M48" s="6"/>
      <c r="N48" s="4">
        <v>0</v>
      </c>
      <c r="O48" s="6" t="s">
        <v>17</v>
      </c>
    </row>
    <row r="49" spans="1:15" s="3" customFormat="1" x14ac:dyDescent="0.3">
      <c r="A49" s="3" t="s">
        <v>176</v>
      </c>
      <c r="B49" s="4" t="s">
        <v>172</v>
      </c>
      <c r="C49" s="5" t="s">
        <v>18</v>
      </c>
      <c r="D49" s="6" t="s">
        <v>173</v>
      </c>
      <c r="E49" s="6" t="s">
        <v>352</v>
      </c>
      <c r="F49" s="6" t="str">
        <f t="shared" si="0"/>
        <v>Стекло буферное460×210 мм</v>
      </c>
      <c r="G49" s="6" t="s">
        <v>174</v>
      </c>
      <c r="H49" s="6"/>
      <c r="I49" s="6"/>
      <c r="J49" s="6" t="s">
        <v>175</v>
      </c>
      <c r="K49" s="6"/>
      <c r="L49" s="6"/>
      <c r="M49" s="6"/>
      <c r="N49" s="4">
        <v>0</v>
      </c>
      <c r="O49" s="6" t="s">
        <v>17</v>
      </c>
    </row>
    <row r="50" spans="1:15" s="3" customFormat="1" x14ac:dyDescent="0.3">
      <c r="A50" s="3" t="s">
        <v>177</v>
      </c>
      <c r="B50" s="4" t="s">
        <v>177</v>
      </c>
      <c r="C50" s="5" t="s">
        <v>18</v>
      </c>
      <c r="D50" s="6" t="s">
        <v>178</v>
      </c>
      <c r="E50" s="6" t="s">
        <v>352</v>
      </c>
      <c r="F50" s="6" t="str">
        <f t="shared" si="0"/>
        <v>Стекло ВВК665×210 мм</v>
      </c>
      <c r="G50" s="6" t="s">
        <v>179</v>
      </c>
      <c r="H50" s="6"/>
      <c r="I50" s="6"/>
      <c r="J50" s="6" t="s">
        <v>180</v>
      </c>
      <c r="K50" s="6"/>
      <c r="L50" s="6"/>
      <c r="M50" s="6"/>
      <c r="N50" s="4">
        <v>0</v>
      </c>
      <c r="O50" s="6" t="s">
        <v>17</v>
      </c>
    </row>
    <row r="51" spans="1:15" s="3" customFormat="1" x14ac:dyDescent="0.3">
      <c r="A51" s="3" t="s">
        <v>181</v>
      </c>
      <c r="B51" s="4" t="s">
        <v>181</v>
      </c>
      <c r="C51" s="5" t="s">
        <v>18</v>
      </c>
      <c r="D51" s="6" t="s">
        <v>182</v>
      </c>
      <c r="E51" s="6" t="s">
        <v>352</v>
      </c>
      <c r="F51" s="6" t="str">
        <f t="shared" si="0"/>
        <v>Стекло ветровое467×160 мм</v>
      </c>
      <c r="G51" s="6" t="s">
        <v>183</v>
      </c>
      <c r="H51" s="6"/>
      <c r="I51" s="6"/>
      <c r="J51" s="6" t="s">
        <v>184</v>
      </c>
      <c r="K51" s="6"/>
      <c r="L51" s="6"/>
      <c r="M51" s="6"/>
      <c r="N51" s="4">
        <v>0</v>
      </c>
      <c r="O51" s="6" t="s">
        <v>17</v>
      </c>
    </row>
    <row r="52" spans="1:15" s="3" customFormat="1" x14ac:dyDescent="0.3">
      <c r="A52" s="3" t="s">
        <v>185</v>
      </c>
      <c r="B52" s="4" t="s">
        <v>185</v>
      </c>
      <c r="C52" s="5" t="s">
        <v>18</v>
      </c>
      <c r="D52" s="6" t="s">
        <v>186</v>
      </c>
      <c r="E52" s="6" t="s">
        <v>352</v>
      </c>
      <c r="F52" s="6" t="str">
        <f t="shared" si="0"/>
        <v>Стекло водомерное</v>
      </c>
      <c r="G52" s="6" t="s">
        <v>186</v>
      </c>
      <c r="H52" s="6"/>
      <c r="I52" s="6"/>
      <c r="J52" s="6"/>
      <c r="K52" s="6"/>
      <c r="L52" s="6"/>
      <c r="M52" s="6"/>
      <c r="N52" s="4" t="s">
        <v>16</v>
      </c>
      <c r="O52" s="6" t="s">
        <v>17</v>
      </c>
    </row>
    <row r="53" spans="1:15" s="3" customFormat="1" ht="28.8" x14ac:dyDescent="0.3">
      <c r="A53" s="3" t="s">
        <v>187</v>
      </c>
      <c r="B53" s="4" t="s">
        <v>187</v>
      </c>
      <c r="C53" s="5" t="s">
        <v>18</v>
      </c>
      <c r="D53" s="6" t="s">
        <v>188</v>
      </c>
      <c r="E53" s="6" t="s">
        <v>352</v>
      </c>
      <c r="F53" s="6" t="str">
        <f t="shared" si="0"/>
        <v>Трубка стеклянная водомерная15-17×2-3×1000 мм</v>
      </c>
      <c r="G53" s="6" t="s">
        <v>189</v>
      </c>
      <c r="H53" s="6"/>
      <c r="I53" s="6"/>
      <c r="J53" s="6" t="s">
        <v>190</v>
      </c>
      <c r="K53" s="6"/>
      <c r="L53" s="6"/>
      <c r="M53" s="6"/>
      <c r="N53" s="4">
        <v>3187231282</v>
      </c>
      <c r="O53" s="6" t="s">
        <v>17</v>
      </c>
    </row>
    <row r="54" spans="1:15" s="3" customFormat="1" x14ac:dyDescent="0.3">
      <c r="A54" s="3" t="s">
        <v>191</v>
      </c>
      <c r="B54" s="4" t="s">
        <v>191</v>
      </c>
      <c r="C54" s="5" t="s">
        <v>18</v>
      </c>
      <c r="D54" s="6" t="s">
        <v>192</v>
      </c>
      <c r="E54" s="6" t="s">
        <v>352</v>
      </c>
      <c r="F54" s="6" t="str">
        <f t="shared" si="0"/>
        <v>Стекло водоуказательное220×30×17 мм</v>
      </c>
      <c r="G54" s="6" t="s">
        <v>193</v>
      </c>
      <c r="H54" s="6"/>
      <c r="I54" s="6"/>
      <c r="J54" s="6" t="s">
        <v>194</v>
      </c>
      <c r="K54" s="6"/>
      <c r="L54" s="6"/>
      <c r="M54" s="6"/>
      <c r="N54" s="4">
        <v>3187172892</v>
      </c>
      <c r="O54" s="6" t="s">
        <v>17</v>
      </c>
    </row>
    <row r="55" spans="1:15" s="3" customFormat="1" x14ac:dyDescent="0.3">
      <c r="A55" s="3" t="s">
        <v>195</v>
      </c>
      <c r="B55" s="4" t="s">
        <v>195</v>
      </c>
      <c r="C55" s="5" t="s">
        <v>18</v>
      </c>
      <c r="D55" s="6" t="s">
        <v>196</v>
      </c>
      <c r="E55" s="6" t="s">
        <v>352</v>
      </c>
      <c r="F55" s="6" t="str">
        <f t="shared" si="0"/>
        <v>Стекло задвижное467×376 мм</v>
      </c>
      <c r="G55" s="6" t="s">
        <v>197</v>
      </c>
      <c r="H55" s="6"/>
      <c r="I55" s="6"/>
      <c r="J55" s="6" t="s">
        <v>198</v>
      </c>
      <c r="K55" s="6"/>
      <c r="L55" s="6"/>
      <c r="M55" s="6"/>
      <c r="N55" s="4">
        <v>0</v>
      </c>
      <c r="O55" s="6" t="s">
        <v>17</v>
      </c>
    </row>
    <row r="56" spans="1:15" s="3" customFormat="1" x14ac:dyDescent="0.3">
      <c r="A56" s="3" t="s">
        <v>199</v>
      </c>
      <c r="B56" s="4" t="s">
        <v>199</v>
      </c>
      <c r="C56" s="5" t="s">
        <v>18</v>
      </c>
      <c r="D56" s="6" t="s">
        <v>200</v>
      </c>
      <c r="E56" s="6" t="s">
        <v>352</v>
      </c>
      <c r="F56" s="6" t="str">
        <f t="shared" si="0"/>
        <v>Стекло закаленноесталинит465×345 мм</v>
      </c>
      <c r="G56" s="6" t="s">
        <v>201</v>
      </c>
      <c r="H56" s="6" t="s">
        <v>153</v>
      </c>
      <c r="I56" s="6"/>
      <c r="J56" s="6" t="s">
        <v>202</v>
      </c>
      <c r="K56" s="6"/>
      <c r="L56" s="6"/>
      <c r="M56" s="6"/>
      <c r="N56" s="4">
        <v>0</v>
      </c>
      <c r="O56" s="6" t="s">
        <v>17</v>
      </c>
    </row>
    <row r="57" spans="1:15" s="3" customFormat="1" ht="28.8" x14ac:dyDescent="0.3">
      <c r="A57" s="3" t="s">
        <v>203</v>
      </c>
      <c r="B57" s="4" t="s">
        <v>203</v>
      </c>
      <c r="C57" s="5" t="s">
        <v>18</v>
      </c>
      <c r="D57" s="6" t="s">
        <v>204</v>
      </c>
      <c r="E57" s="6" t="s">
        <v>352</v>
      </c>
      <c r="F57" s="6" t="str">
        <f t="shared" si="0"/>
        <v>Стекло закаленное сталинит760×494 мм</v>
      </c>
      <c r="G57" s="6" t="s">
        <v>205</v>
      </c>
      <c r="H57" s="6" t="s">
        <v>153</v>
      </c>
      <c r="I57" s="6"/>
      <c r="J57" s="6" t="s">
        <v>206</v>
      </c>
      <c r="K57" s="6"/>
      <c r="L57" s="6"/>
      <c r="M57" s="6"/>
      <c r="N57" s="4">
        <v>5923330012</v>
      </c>
      <c r="O57" s="6" t="s">
        <v>17</v>
      </c>
    </row>
    <row r="58" spans="1:15" s="3" customFormat="1" x14ac:dyDescent="0.3">
      <c r="A58" s="3" t="s">
        <v>207</v>
      </c>
      <c r="B58" s="4" t="s">
        <v>207</v>
      </c>
      <c r="C58" s="5" t="s">
        <v>18</v>
      </c>
      <c r="D58" s="6" t="s">
        <v>208</v>
      </c>
      <c r="E58" s="6" t="s">
        <v>352</v>
      </c>
      <c r="F58" s="6" t="str">
        <f t="shared" si="0"/>
        <v>Стекло закаленноесталинит762×496 мм</v>
      </c>
      <c r="G58" s="6" t="s">
        <v>201</v>
      </c>
      <c r="H58" s="6" t="s">
        <v>153</v>
      </c>
      <c r="I58" s="6"/>
      <c r="J58" s="6" t="s">
        <v>209</v>
      </c>
      <c r="K58" s="6"/>
      <c r="L58" s="6"/>
      <c r="M58" s="6"/>
      <c r="N58" s="4">
        <v>0</v>
      </c>
      <c r="O58" s="6" t="s">
        <v>17</v>
      </c>
    </row>
    <row r="59" spans="1:15" s="3" customFormat="1" x14ac:dyDescent="0.3">
      <c r="A59" s="3" t="s">
        <v>210</v>
      </c>
      <c r="B59" s="4" t="s">
        <v>210</v>
      </c>
      <c r="C59" s="5" t="s">
        <v>18</v>
      </c>
      <c r="D59" s="6" t="s">
        <v>211</v>
      </c>
      <c r="E59" s="6" t="s">
        <v>352</v>
      </c>
      <c r="F59" s="6" t="str">
        <f t="shared" si="0"/>
        <v>Стекло закаленноесталинит475×415 мм</v>
      </c>
      <c r="G59" s="6" t="s">
        <v>201</v>
      </c>
      <c r="H59" s="6" t="s">
        <v>153</v>
      </c>
      <c r="I59" s="6"/>
      <c r="J59" s="6" t="s">
        <v>171</v>
      </c>
      <c r="K59" s="6"/>
      <c r="L59" s="6"/>
      <c r="M59" s="6"/>
      <c r="N59" s="4" t="s">
        <v>16</v>
      </c>
      <c r="O59" s="6" t="s">
        <v>17</v>
      </c>
    </row>
    <row r="60" spans="1:15" s="3" customFormat="1" x14ac:dyDescent="0.3">
      <c r="A60" s="3" t="s">
        <v>212</v>
      </c>
      <c r="B60" s="4" t="s">
        <v>212</v>
      </c>
      <c r="C60" s="5" t="s">
        <v>18</v>
      </c>
      <c r="D60" s="6" t="s">
        <v>213</v>
      </c>
      <c r="E60" s="6" t="s">
        <v>352</v>
      </c>
      <c r="F60" s="6" t="str">
        <f t="shared" si="0"/>
        <v>Стекло защитное110×9 мм</v>
      </c>
      <c r="G60" s="6" t="s">
        <v>214</v>
      </c>
      <c r="H60" s="6"/>
      <c r="I60" s="6"/>
      <c r="J60" s="6" t="s">
        <v>215</v>
      </c>
      <c r="K60" s="6"/>
      <c r="L60" s="6"/>
      <c r="M60" s="6"/>
      <c r="N60" s="4" t="s">
        <v>16</v>
      </c>
      <c r="O60" s="6" t="s">
        <v>17</v>
      </c>
    </row>
    <row r="61" spans="1:15" s="3" customFormat="1" x14ac:dyDescent="0.3">
      <c r="A61" s="3" t="s">
        <v>216</v>
      </c>
      <c r="B61" s="4" t="s">
        <v>216</v>
      </c>
      <c r="C61" s="5" t="s">
        <v>18</v>
      </c>
      <c r="D61" s="6" t="s">
        <v>217</v>
      </c>
      <c r="E61" s="6" t="s">
        <v>352</v>
      </c>
      <c r="F61" s="6" t="str">
        <f t="shared" si="0"/>
        <v>Стекло защитное121×69 мм</v>
      </c>
      <c r="G61" s="6" t="s">
        <v>214</v>
      </c>
      <c r="H61" s="6"/>
      <c r="I61" s="6"/>
      <c r="J61" s="6" t="s">
        <v>218</v>
      </c>
      <c r="K61" s="6"/>
      <c r="L61" s="6"/>
      <c r="M61" s="6"/>
      <c r="N61" s="4" t="s">
        <v>16</v>
      </c>
      <c r="O61" s="6" t="s">
        <v>17</v>
      </c>
    </row>
    <row r="62" spans="1:15" s="3" customFormat="1" ht="28.8" x14ac:dyDescent="0.3">
      <c r="A62" s="3" t="s">
        <v>219</v>
      </c>
      <c r="B62" s="4" t="s">
        <v>219</v>
      </c>
      <c r="C62" s="5" t="s">
        <v>18</v>
      </c>
      <c r="D62" s="6" t="s">
        <v>220</v>
      </c>
      <c r="E62" s="6" t="s">
        <v>352</v>
      </c>
      <c r="F62" s="6" t="str">
        <f t="shared" si="0"/>
        <v>Стекло капота переднееМТ938634×224 мм</v>
      </c>
      <c r="G62" s="6" t="s">
        <v>221</v>
      </c>
      <c r="H62" s="6"/>
      <c r="I62" s="6" t="s">
        <v>222</v>
      </c>
      <c r="J62" s="6" t="s">
        <v>223</v>
      </c>
      <c r="K62" s="6"/>
      <c r="L62" s="6"/>
      <c r="M62" s="6"/>
      <c r="N62" s="4">
        <v>0</v>
      </c>
      <c r="O62" s="6" t="s">
        <v>17</v>
      </c>
    </row>
    <row r="63" spans="1:15" s="3" customFormat="1" ht="28.8" x14ac:dyDescent="0.3">
      <c r="A63" s="3" t="s">
        <v>224</v>
      </c>
      <c r="B63" s="4" t="s">
        <v>219</v>
      </c>
      <c r="C63" s="5" t="s">
        <v>18</v>
      </c>
      <c r="D63" s="6" t="s">
        <v>225</v>
      </c>
      <c r="E63" s="6" t="s">
        <v>352</v>
      </c>
      <c r="F63" s="6" t="str">
        <f t="shared" si="0"/>
        <v>Стекло капота переднее МТ938634×224 мм</v>
      </c>
      <c r="G63" s="6" t="s">
        <v>226</v>
      </c>
      <c r="H63" s="6"/>
      <c r="I63" s="6" t="s">
        <v>222</v>
      </c>
      <c r="J63" s="6" t="s">
        <v>223</v>
      </c>
      <c r="K63" s="6"/>
      <c r="L63" s="6"/>
      <c r="M63" s="6"/>
      <c r="N63" s="4">
        <v>3187172893</v>
      </c>
      <c r="O63" s="6" t="s">
        <v>17</v>
      </c>
    </row>
    <row r="64" spans="1:15" s="3" customFormat="1" ht="28.8" x14ac:dyDescent="0.3">
      <c r="A64" s="3" t="s">
        <v>227</v>
      </c>
      <c r="B64" s="4" t="s">
        <v>227</v>
      </c>
      <c r="C64" s="5" t="s">
        <v>18</v>
      </c>
      <c r="D64" s="6" t="s">
        <v>228</v>
      </c>
      <c r="E64" s="6" t="s">
        <v>352</v>
      </c>
      <c r="F64" s="6" t="str">
        <f t="shared" si="0"/>
        <v>Стекло Клингера (гладкое №5)220×28×17 мм</v>
      </c>
      <c r="G64" s="6" t="s">
        <v>229</v>
      </c>
      <c r="H64" s="6"/>
      <c r="I64" s="6"/>
      <c r="J64" s="6" t="s">
        <v>230</v>
      </c>
      <c r="K64" s="6"/>
      <c r="L64" s="6"/>
      <c r="M64" s="6"/>
      <c r="N64" s="4">
        <v>3187172385</v>
      </c>
      <c r="O64" s="6" t="s">
        <v>17</v>
      </c>
    </row>
    <row r="65" spans="1:15" s="3" customFormat="1" ht="28.8" x14ac:dyDescent="0.3">
      <c r="A65" s="3" t="s">
        <v>231</v>
      </c>
      <c r="B65" s="4" t="s">
        <v>227</v>
      </c>
      <c r="C65" s="5" t="s">
        <v>18</v>
      </c>
      <c r="D65" s="6" t="s">
        <v>228</v>
      </c>
      <c r="E65" s="6" t="s">
        <v>352</v>
      </c>
      <c r="F65" s="6" t="str">
        <f t="shared" si="0"/>
        <v>Стекло Клингера (гладкое №5)220×28×17 мм</v>
      </c>
      <c r="G65" s="6" t="s">
        <v>229</v>
      </c>
      <c r="H65" s="6"/>
      <c r="I65" s="6"/>
      <c r="J65" s="6" t="s">
        <v>230</v>
      </c>
      <c r="K65" s="6"/>
      <c r="L65" s="6"/>
      <c r="M65" s="6"/>
      <c r="N65" s="4">
        <v>3187172385</v>
      </c>
      <c r="O65" s="6" t="s">
        <v>17</v>
      </c>
    </row>
    <row r="66" spans="1:15" s="3" customFormat="1" x14ac:dyDescent="0.3">
      <c r="A66" s="3" t="s">
        <v>232</v>
      </c>
      <c r="B66" s="4" t="s">
        <v>233</v>
      </c>
      <c r="C66" s="5" t="s">
        <v>18</v>
      </c>
      <c r="D66" s="6" t="s">
        <v>234</v>
      </c>
      <c r="E66" s="6" t="s">
        <v>352</v>
      </c>
      <c r="F66" s="6" t="str">
        <f t="shared" si="0"/>
        <v>Стекло Клингера280×30×17 мм</v>
      </c>
      <c r="G66" s="6" t="s">
        <v>235</v>
      </c>
      <c r="H66" s="6"/>
      <c r="I66" s="6"/>
      <c r="J66" s="6" t="s">
        <v>236</v>
      </c>
      <c r="K66" s="6"/>
      <c r="L66" s="6"/>
      <c r="M66" s="6"/>
      <c r="N66" s="4" t="s">
        <v>16</v>
      </c>
      <c r="O66" s="6" t="s">
        <v>17</v>
      </c>
    </row>
    <row r="67" spans="1:15" s="3" customFormat="1" ht="28.8" x14ac:dyDescent="0.3">
      <c r="A67" s="3" t="s">
        <v>233</v>
      </c>
      <c r="B67" s="4" t="s">
        <v>233</v>
      </c>
      <c r="C67" s="5" t="s">
        <v>18</v>
      </c>
      <c r="D67" s="6" t="s">
        <v>237</v>
      </c>
      <c r="E67" s="6" t="s">
        <v>352</v>
      </c>
      <c r="F67" s="6" t="str">
        <f t="shared" ref="F67:F99" si="1">G67&amp;H67&amp;I67&amp;J67&amp;K67</f>
        <v>Стекло Клингера280×30×17 мм</v>
      </c>
      <c r="G67" s="6" t="s">
        <v>235</v>
      </c>
      <c r="H67" s="6"/>
      <c r="I67" s="6"/>
      <c r="J67" s="6" t="s">
        <v>236</v>
      </c>
      <c r="K67" s="6"/>
      <c r="L67" s="6"/>
      <c r="M67" s="6"/>
      <c r="N67" s="4" t="s">
        <v>16</v>
      </c>
      <c r="O67" s="6" t="s">
        <v>17</v>
      </c>
    </row>
    <row r="68" spans="1:15" s="3" customFormat="1" ht="28.8" x14ac:dyDescent="0.3">
      <c r="A68" s="3" t="s">
        <v>238</v>
      </c>
      <c r="B68" s="4" t="s">
        <v>238</v>
      </c>
      <c r="C68" s="5" t="s">
        <v>18</v>
      </c>
      <c r="D68" s="6" t="s">
        <v>239</v>
      </c>
      <c r="E68" s="6" t="s">
        <v>352</v>
      </c>
      <c r="F68" s="6" t="str">
        <f t="shared" si="1"/>
        <v>Стекло лобовое левоеМАС.071.00.000-03 75 В 642Вт</v>
      </c>
      <c r="G68" s="6" t="s">
        <v>240</v>
      </c>
      <c r="H68" s="6"/>
      <c r="I68" s="6" t="s">
        <v>241</v>
      </c>
      <c r="J68" s="6" t="s">
        <v>242</v>
      </c>
      <c r="K68" s="6"/>
      <c r="L68" s="6"/>
      <c r="M68" s="6"/>
      <c r="N68" s="4">
        <v>3187145423</v>
      </c>
      <c r="O68" s="6" t="s">
        <v>17</v>
      </c>
    </row>
    <row r="69" spans="1:15" s="3" customFormat="1" ht="28.8" x14ac:dyDescent="0.3">
      <c r="A69" s="3" t="s">
        <v>243</v>
      </c>
      <c r="B69" s="4" t="s">
        <v>243</v>
      </c>
      <c r="C69" s="5" t="s">
        <v>18</v>
      </c>
      <c r="D69" s="6" t="s">
        <v>244</v>
      </c>
      <c r="E69" s="6" t="s">
        <v>352</v>
      </c>
      <c r="F69" s="6" t="str">
        <f t="shared" si="1"/>
        <v>Стекло лобовое правоеМАС.087.00.000-02</v>
      </c>
      <c r="G69" s="6" t="s">
        <v>245</v>
      </c>
      <c r="H69" s="6"/>
      <c r="I69" s="6" t="s">
        <v>246</v>
      </c>
      <c r="J69" s="6"/>
      <c r="K69" s="6"/>
      <c r="L69" s="6"/>
      <c r="M69" s="6"/>
      <c r="N69" s="4">
        <v>3187145424</v>
      </c>
      <c r="O69" s="6" t="s">
        <v>17</v>
      </c>
    </row>
    <row r="70" spans="1:15" s="3" customFormat="1" ht="28.8" x14ac:dyDescent="0.3">
      <c r="A70" s="3" t="s">
        <v>247</v>
      </c>
      <c r="B70" s="4" t="s">
        <v>247</v>
      </c>
      <c r="C70" s="5" t="s">
        <v>18</v>
      </c>
      <c r="D70" s="6" t="s">
        <v>248</v>
      </c>
      <c r="E70" s="6" t="s">
        <v>352</v>
      </c>
      <c r="F70" s="6" t="str">
        <f t="shared" si="1"/>
        <v>Стекло лобовое правоеМАС.071.00.000-0275 В 642Вт</v>
      </c>
      <c r="G70" s="6" t="s">
        <v>245</v>
      </c>
      <c r="H70" s="6"/>
      <c r="I70" s="6" t="s">
        <v>249</v>
      </c>
      <c r="J70" s="6" t="s">
        <v>242</v>
      </c>
      <c r="K70" s="6"/>
      <c r="L70" s="6"/>
      <c r="M70" s="6"/>
      <c r="N70" s="4">
        <v>3187145422</v>
      </c>
      <c r="O70" s="6" t="s">
        <v>17</v>
      </c>
    </row>
    <row r="71" spans="1:15" s="3" customFormat="1" ht="28.8" x14ac:dyDescent="0.3">
      <c r="A71" s="3" t="s">
        <v>250</v>
      </c>
      <c r="B71" s="4" t="s">
        <v>250</v>
      </c>
      <c r="C71" s="5" t="s">
        <v>18</v>
      </c>
      <c r="D71" s="6" t="s">
        <v>251</v>
      </c>
      <c r="E71" s="6" t="s">
        <v>352</v>
      </c>
      <c r="F71" s="6" t="str">
        <f t="shared" si="1"/>
        <v>Стекло органическое техническое (ТОСП)ТОСП3 мм</v>
      </c>
      <c r="G71" s="6" t="s">
        <v>252</v>
      </c>
      <c r="H71" s="6"/>
      <c r="I71" s="6" t="s">
        <v>253</v>
      </c>
      <c r="J71" s="6" t="s">
        <v>110</v>
      </c>
      <c r="K71" s="6"/>
      <c r="L71" s="6"/>
      <c r="M71" s="6"/>
      <c r="N71" s="4" t="s">
        <v>16</v>
      </c>
      <c r="O71" s="6" t="s">
        <v>17</v>
      </c>
    </row>
    <row r="72" spans="1:15" s="3" customFormat="1" ht="28.8" x14ac:dyDescent="0.3">
      <c r="A72" s="3" t="s">
        <v>254</v>
      </c>
      <c r="B72" s="4" t="s">
        <v>254</v>
      </c>
      <c r="C72" s="5" t="s">
        <v>18</v>
      </c>
      <c r="D72" s="6" t="s">
        <v>255</v>
      </c>
      <c r="E72" s="6" t="s">
        <v>352</v>
      </c>
      <c r="F72" s="6" t="str">
        <f t="shared" si="1"/>
        <v>Стекло органическое техническое (ТОСП)ТОСП4мм</v>
      </c>
      <c r="G72" s="6" t="s">
        <v>252</v>
      </c>
      <c r="H72" s="6"/>
      <c r="I72" s="6" t="s">
        <v>253</v>
      </c>
      <c r="J72" s="6" t="s">
        <v>256</v>
      </c>
      <c r="K72" s="6"/>
      <c r="L72" s="6"/>
      <c r="M72" s="6"/>
      <c r="N72" s="4" t="s">
        <v>16</v>
      </c>
      <c r="O72" s="6" t="s">
        <v>17</v>
      </c>
    </row>
    <row r="73" spans="1:15" s="3" customFormat="1" ht="28.8" x14ac:dyDescent="0.3">
      <c r="A73" s="3" t="s">
        <v>257</v>
      </c>
      <c r="B73" s="4" t="s">
        <v>257</v>
      </c>
      <c r="C73" s="5" t="s">
        <v>18</v>
      </c>
      <c r="D73" s="6" t="s">
        <v>258</v>
      </c>
      <c r="E73" s="6" t="s">
        <v>352</v>
      </c>
      <c r="F73" s="6" t="str">
        <f t="shared" si="1"/>
        <v>Стекло плоское370×320 мм, Т5</v>
      </c>
      <c r="G73" s="6" t="s">
        <v>259</v>
      </c>
      <c r="H73" s="6"/>
      <c r="I73" s="6"/>
      <c r="J73" s="6" t="s">
        <v>260</v>
      </c>
      <c r="K73" s="6"/>
      <c r="L73" s="6" t="s">
        <v>261</v>
      </c>
      <c r="M73" s="6"/>
      <c r="N73" s="4" t="s">
        <v>16</v>
      </c>
      <c r="O73" s="6" t="s">
        <v>17</v>
      </c>
    </row>
    <row r="74" spans="1:15" s="3" customFormat="1" x14ac:dyDescent="0.3">
      <c r="A74" s="3" t="s">
        <v>262</v>
      </c>
      <c r="B74" s="4" t="s">
        <v>262</v>
      </c>
      <c r="C74" s="5" t="s">
        <v>263</v>
      </c>
      <c r="D74" s="6" t="s">
        <v>264</v>
      </c>
      <c r="E74" s="6" t="s">
        <v>352</v>
      </c>
      <c r="F74" s="6" t="str">
        <f t="shared" si="1"/>
        <v>Стекло полированное 6 мм</v>
      </c>
      <c r="G74" s="6" t="s">
        <v>265</v>
      </c>
      <c r="H74" s="6"/>
      <c r="I74" s="6"/>
      <c r="J74" s="6" t="s">
        <v>266</v>
      </c>
      <c r="K74" s="6"/>
      <c r="L74" s="6"/>
      <c r="M74" s="6"/>
      <c r="N74" s="4" t="s">
        <v>16</v>
      </c>
      <c r="O74" s="6" t="s">
        <v>17</v>
      </c>
    </row>
    <row r="75" spans="1:15" s="3" customFormat="1" x14ac:dyDescent="0.3">
      <c r="A75" s="3" t="s">
        <v>267</v>
      </c>
      <c r="B75" s="4" t="s">
        <v>267</v>
      </c>
      <c r="C75" s="5" t="s">
        <v>14</v>
      </c>
      <c r="D75" s="6" t="s">
        <v>268</v>
      </c>
      <c r="E75" s="6" t="s">
        <v>352</v>
      </c>
      <c r="F75" s="6" t="str">
        <f t="shared" si="1"/>
        <v>Стекло полированное листовое 4мм</v>
      </c>
      <c r="G75" s="6" t="s">
        <v>269</v>
      </c>
      <c r="H75" s="6"/>
      <c r="I75" s="6"/>
      <c r="J75" s="6" t="s">
        <v>256</v>
      </c>
      <c r="K75" s="6"/>
      <c r="L75" s="6"/>
      <c r="M75" s="6"/>
      <c r="N75" s="4">
        <v>0</v>
      </c>
      <c r="O75" s="6" t="s">
        <v>17</v>
      </c>
    </row>
    <row r="76" spans="1:15" s="3" customFormat="1" x14ac:dyDescent="0.3">
      <c r="A76" s="3" t="s">
        <v>270</v>
      </c>
      <c r="B76" s="4" t="s">
        <v>270</v>
      </c>
      <c r="C76" s="5" t="s">
        <v>14</v>
      </c>
      <c r="D76" s="6" t="s">
        <v>271</v>
      </c>
      <c r="E76" s="6" t="s">
        <v>352</v>
      </c>
      <c r="F76" s="6" t="str">
        <f t="shared" si="1"/>
        <v>Стекло полированное листовое 4мм М1</v>
      </c>
      <c r="G76" s="6" t="s">
        <v>269</v>
      </c>
      <c r="H76" s="6"/>
      <c r="I76" s="6"/>
      <c r="J76" s="6" t="s">
        <v>272</v>
      </c>
      <c r="K76" s="6"/>
      <c r="L76" s="6"/>
      <c r="M76" s="6"/>
      <c r="N76" s="4" t="s">
        <v>16</v>
      </c>
      <c r="O76" s="6" t="s">
        <v>17</v>
      </c>
    </row>
    <row r="77" spans="1:15" s="3" customFormat="1" ht="28.8" x14ac:dyDescent="0.3">
      <c r="A77" s="3" t="s">
        <v>273</v>
      </c>
      <c r="B77" s="4" t="s">
        <v>273</v>
      </c>
      <c r="C77" s="5" t="s">
        <v>14</v>
      </c>
      <c r="D77" s="6" t="s">
        <v>274</v>
      </c>
      <c r="E77" s="6" t="s">
        <v>352</v>
      </c>
      <c r="F77" s="6" t="str">
        <f t="shared" si="1"/>
        <v>Стекло прожекторного фонаря485×375 мм</v>
      </c>
      <c r="G77" s="6" t="s">
        <v>275</v>
      </c>
      <c r="H77" s="6"/>
      <c r="I77" s="6"/>
      <c r="J77" s="6" t="s">
        <v>276</v>
      </c>
      <c r="K77" s="6"/>
      <c r="L77" s="6"/>
      <c r="M77" s="6"/>
      <c r="N77" s="4">
        <v>0</v>
      </c>
      <c r="O77" s="6" t="s">
        <v>17</v>
      </c>
    </row>
    <row r="78" spans="1:15" s="3" customFormat="1" ht="28.8" x14ac:dyDescent="0.3">
      <c r="A78" s="3" t="s">
        <v>277</v>
      </c>
      <c r="B78" s="4" t="s">
        <v>273</v>
      </c>
      <c r="C78" s="5" t="s">
        <v>18</v>
      </c>
      <c r="D78" s="6" t="s">
        <v>274</v>
      </c>
      <c r="E78" s="6" t="s">
        <v>352</v>
      </c>
      <c r="F78" s="6" t="str">
        <f t="shared" si="1"/>
        <v>Стекло прожекторного фонаря485×375 мм</v>
      </c>
      <c r="G78" s="6" t="s">
        <v>275</v>
      </c>
      <c r="H78" s="6"/>
      <c r="I78" s="6"/>
      <c r="J78" s="6" t="s">
        <v>276</v>
      </c>
      <c r="K78" s="6"/>
      <c r="L78" s="6"/>
      <c r="M78" s="6"/>
      <c r="N78" s="4">
        <v>0</v>
      </c>
      <c r="O78" s="6" t="s">
        <v>17</v>
      </c>
    </row>
    <row r="79" spans="1:15" s="3" customFormat="1" ht="28.8" x14ac:dyDescent="0.3">
      <c r="A79" s="3" t="s">
        <v>278</v>
      </c>
      <c r="B79" s="4" t="s">
        <v>278</v>
      </c>
      <c r="C79" s="5" t="s">
        <v>18</v>
      </c>
      <c r="D79" s="6" t="s">
        <v>279</v>
      </c>
      <c r="E79" s="6" t="s">
        <v>352</v>
      </c>
      <c r="F79" s="6" t="str">
        <f t="shared" si="1"/>
        <v>Стекло синтетическое акрил прозрачное</v>
      </c>
      <c r="G79" s="6" t="s">
        <v>279</v>
      </c>
      <c r="H79" s="6"/>
      <c r="I79" s="6"/>
      <c r="J79" s="6"/>
      <c r="K79" s="6"/>
      <c r="L79" s="6"/>
      <c r="M79" s="6"/>
      <c r="N79" s="4" t="s">
        <v>16</v>
      </c>
      <c r="O79" s="6" t="s">
        <v>17</v>
      </c>
    </row>
    <row r="80" spans="1:15" s="3" customFormat="1" ht="28.8" x14ac:dyDescent="0.3">
      <c r="A80" s="3" t="s">
        <v>280</v>
      </c>
      <c r="B80" s="4" t="s">
        <v>280</v>
      </c>
      <c r="C80" s="5" t="s">
        <v>18</v>
      </c>
      <c r="D80" s="6" t="s">
        <v>281</v>
      </c>
      <c r="E80" s="6" t="s">
        <v>352</v>
      </c>
      <c r="F80" s="6" t="str">
        <f t="shared" si="1"/>
        <v>Стекло синтетическое полистирол4×500–1000 мм</v>
      </c>
      <c r="G80" s="6" t="s">
        <v>282</v>
      </c>
      <c r="H80" s="6"/>
      <c r="I80" s="6"/>
      <c r="J80" s="6" t="s">
        <v>283</v>
      </c>
      <c r="K80" s="6"/>
      <c r="L80" s="6"/>
      <c r="M80" s="6"/>
      <c r="N80" s="4" t="s">
        <v>16</v>
      </c>
      <c r="O80" s="6" t="s">
        <v>17</v>
      </c>
    </row>
    <row r="81" spans="1:15" s="3" customFormat="1" ht="28.8" x14ac:dyDescent="0.3">
      <c r="A81" s="3" t="s">
        <v>284</v>
      </c>
      <c r="B81" s="4" t="s">
        <v>284</v>
      </c>
      <c r="C81" s="5" t="s">
        <v>18</v>
      </c>
      <c r="D81" s="6" t="s">
        <v>285</v>
      </c>
      <c r="E81" s="6" t="s">
        <v>352</v>
      </c>
      <c r="F81" s="6" t="str">
        <f t="shared" si="1"/>
        <v>Стекло смотровое закаленное138×5 мм</v>
      </c>
      <c r="G81" s="6" t="s">
        <v>286</v>
      </c>
      <c r="H81" s="6"/>
      <c r="I81" s="6"/>
      <c r="J81" s="6" t="s">
        <v>287</v>
      </c>
      <c r="K81" s="6"/>
      <c r="L81" s="6"/>
      <c r="M81" s="6"/>
      <c r="N81" s="4" t="s">
        <v>16</v>
      </c>
      <c r="O81" s="6" t="s">
        <v>17</v>
      </c>
    </row>
    <row r="82" spans="1:15" s="3" customFormat="1" ht="28.8" x14ac:dyDescent="0.3">
      <c r="A82" s="3" t="s">
        <v>288</v>
      </c>
      <c r="B82" s="4" t="s">
        <v>288</v>
      </c>
      <c r="C82" s="5" t="s">
        <v>18</v>
      </c>
      <c r="D82" s="6" t="s">
        <v>289</v>
      </c>
      <c r="E82" s="6" t="s">
        <v>352</v>
      </c>
      <c r="F82" s="6" t="str">
        <f t="shared" si="1"/>
        <v>Стекло смотровое закаленное140×5 мм</v>
      </c>
      <c r="G82" s="6" t="s">
        <v>286</v>
      </c>
      <c r="H82" s="6"/>
      <c r="I82" s="6"/>
      <c r="J82" s="6" t="s">
        <v>290</v>
      </c>
      <c r="K82" s="6"/>
      <c r="L82" s="6"/>
      <c r="M82" s="6"/>
      <c r="N82" s="4" t="s">
        <v>16</v>
      </c>
      <c r="O82" s="6" t="s">
        <v>17</v>
      </c>
    </row>
    <row r="83" spans="1:15" s="3" customFormat="1" ht="28.8" x14ac:dyDescent="0.3">
      <c r="A83" s="3" t="s">
        <v>291</v>
      </c>
      <c r="B83" s="4" t="s">
        <v>291</v>
      </c>
      <c r="C83" s="5" t="s">
        <v>18</v>
      </c>
      <c r="D83" s="6" t="s">
        <v>292</v>
      </c>
      <c r="E83" s="6" t="s">
        <v>352</v>
      </c>
      <c r="F83" s="6" t="str">
        <f t="shared" si="1"/>
        <v>Стекло смотровое закаленное255×5 мм</v>
      </c>
      <c r="G83" s="6" t="s">
        <v>286</v>
      </c>
      <c r="H83" s="6"/>
      <c r="I83" s="6"/>
      <c r="J83" s="6" t="s">
        <v>293</v>
      </c>
      <c r="K83" s="6"/>
      <c r="L83" s="6"/>
      <c r="M83" s="6"/>
      <c r="N83" s="4" t="s">
        <v>16</v>
      </c>
      <c r="O83" s="6" t="s">
        <v>17</v>
      </c>
    </row>
    <row r="84" spans="1:15" s="3" customFormat="1" x14ac:dyDescent="0.3">
      <c r="A84" s="3" t="s">
        <v>294</v>
      </c>
      <c r="B84" s="4" t="s">
        <v>294</v>
      </c>
      <c r="C84" s="5" t="s">
        <v>18</v>
      </c>
      <c r="D84" s="6" t="s">
        <v>295</v>
      </c>
      <c r="E84" s="6" t="s">
        <v>352</v>
      </c>
      <c r="F84" s="6" t="str">
        <f t="shared" si="1"/>
        <v>Стекло смотровое закаленное378×5 мм</v>
      </c>
      <c r="G84" s="6" t="s">
        <v>286</v>
      </c>
      <c r="H84" s="6"/>
      <c r="I84" s="6"/>
      <c r="J84" s="6" t="s">
        <v>296</v>
      </c>
      <c r="K84" s="6"/>
      <c r="L84" s="6"/>
      <c r="M84" s="6"/>
      <c r="N84" s="4">
        <v>0</v>
      </c>
      <c r="O84" s="6" t="s">
        <v>17</v>
      </c>
    </row>
    <row r="85" spans="1:15" s="3" customFormat="1" ht="28.8" x14ac:dyDescent="0.3">
      <c r="A85" s="3" t="s">
        <v>297</v>
      </c>
      <c r="B85" s="4" t="s">
        <v>297</v>
      </c>
      <c r="C85" s="5" t="s">
        <v>18</v>
      </c>
      <c r="D85" s="6" t="s">
        <v>298</v>
      </c>
      <c r="E85" s="6" t="s">
        <v>352</v>
      </c>
      <c r="F85" s="6" t="str">
        <f t="shared" si="1"/>
        <v>Стекло смотровое закаленное390×5 мм</v>
      </c>
      <c r="G85" s="6" t="s">
        <v>286</v>
      </c>
      <c r="H85" s="6"/>
      <c r="I85" s="6"/>
      <c r="J85" s="6" t="s">
        <v>299</v>
      </c>
      <c r="K85" s="6"/>
      <c r="L85" s="6"/>
      <c r="M85" s="6"/>
      <c r="N85" s="4" t="s">
        <v>16</v>
      </c>
      <c r="O85" s="6" t="s">
        <v>17</v>
      </c>
    </row>
    <row r="86" spans="1:15" s="3" customFormat="1" ht="28.8" x14ac:dyDescent="0.3">
      <c r="A86" s="3" t="s">
        <v>300</v>
      </c>
      <c r="B86" s="4" t="s">
        <v>300</v>
      </c>
      <c r="C86" s="5" t="s">
        <v>18</v>
      </c>
      <c r="D86" s="6" t="s">
        <v>301</v>
      </c>
      <c r="E86" s="6" t="s">
        <v>352</v>
      </c>
      <c r="F86" s="6" t="str">
        <f t="shared" si="1"/>
        <v>Стекло смотровое закаленное радиусноеR-80, 380 мм, 5 мм</v>
      </c>
      <c r="G86" s="6" t="s">
        <v>302</v>
      </c>
      <c r="H86" s="6"/>
      <c r="I86" s="6"/>
      <c r="J86" s="6" t="s">
        <v>303</v>
      </c>
      <c r="K86" s="6"/>
      <c r="L86" s="6"/>
      <c r="M86" s="6"/>
      <c r="N86" s="4" t="s">
        <v>16</v>
      </c>
      <c r="O86" s="6" t="s">
        <v>17</v>
      </c>
    </row>
    <row r="87" spans="1:15" s="3" customFormat="1" x14ac:dyDescent="0.3">
      <c r="A87" s="3" t="s">
        <v>304</v>
      </c>
      <c r="B87" s="4" t="s">
        <v>304</v>
      </c>
      <c r="C87" s="5" t="s">
        <v>18</v>
      </c>
      <c r="D87" s="6" t="s">
        <v>305</v>
      </c>
      <c r="E87" s="6" t="s">
        <v>352</v>
      </c>
      <c r="F87" s="6" t="str">
        <f t="shared" si="1"/>
        <v>Стекло ТИС №3</v>
      </c>
      <c r="G87" s="6" t="s">
        <v>152</v>
      </c>
      <c r="H87" s="6"/>
      <c r="I87" s="6" t="s">
        <v>306</v>
      </c>
      <c r="J87" s="6"/>
      <c r="K87" s="6"/>
      <c r="L87" s="6"/>
      <c r="M87" s="6"/>
      <c r="N87" s="4" t="s">
        <v>16</v>
      </c>
      <c r="O87" s="6" t="s">
        <v>17</v>
      </c>
    </row>
    <row r="88" spans="1:15" s="3" customFormat="1" x14ac:dyDescent="0.3">
      <c r="A88" s="3" t="s">
        <v>307</v>
      </c>
      <c r="B88" s="4" t="s">
        <v>307</v>
      </c>
      <c r="C88" s="5" t="s">
        <v>18</v>
      </c>
      <c r="D88" s="6" t="s">
        <v>308</v>
      </c>
      <c r="E88" s="6" t="s">
        <v>352</v>
      </c>
      <c r="F88" s="6" t="str">
        <f t="shared" si="1"/>
        <v>Стекло ТИС №4</v>
      </c>
      <c r="G88" s="6" t="s">
        <v>152</v>
      </c>
      <c r="H88" s="6"/>
      <c r="I88" s="6" t="s">
        <v>309</v>
      </c>
      <c r="J88" s="6"/>
      <c r="K88" s="6"/>
      <c r="L88" s="6"/>
      <c r="M88" s="6"/>
      <c r="N88" s="4" t="s">
        <v>16</v>
      </c>
      <c r="O88" s="6" t="s">
        <v>17</v>
      </c>
    </row>
    <row r="89" spans="1:15" s="3" customFormat="1" x14ac:dyDescent="0.3">
      <c r="A89" s="3" t="s">
        <v>310</v>
      </c>
      <c r="B89" s="4" t="s">
        <v>310</v>
      </c>
      <c r="C89" s="5" t="s">
        <v>18</v>
      </c>
      <c r="D89" s="6" t="s">
        <v>311</v>
      </c>
      <c r="E89" s="6" t="s">
        <v>352</v>
      </c>
      <c r="F89" s="6" t="str">
        <f t="shared" si="1"/>
        <v>Стеклопакет 32 мм 580×565 мм</v>
      </c>
      <c r="G89" s="6" t="s">
        <v>312</v>
      </c>
      <c r="H89" s="6"/>
      <c r="I89" s="6"/>
      <c r="J89" s="6" t="s">
        <v>313</v>
      </c>
      <c r="K89" s="6"/>
      <c r="L89" s="6"/>
      <c r="M89" s="6"/>
      <c r="N89" s="4" t="s">
        <v>16</v>
      </c>
      <c r="O89" s="6" t="s">
        <v>17</v>
      </c>
    </row>
    <row r="90" spans="1:15" s="3" customFormat="1" x14ac:dyDescent="0.3">
      <c r="A90" s="3" t="s">
        <v>314</v>
      </c>
      <c r="B90" s="4" t="s">
        <v>314</v>
      </c>
      <c r="C90" s="5" t="s">
        <v>18</v>
      </c>
      <c r="D90" s="6" t="s">
        <v>315</v>
      </c>
      <c r="E90" s="6" t="s">
        <v>352</v>
      </c>
      <c r="F90" s="6" t="str">
        <f t="shared" si="1"/>
        <v>Стеклопакет 32 мм 680х665 мм</v>
      </c>
      <c r="G90" s="6" t="s">
        <v>312</v>
      </c>
      <c r="H90" s="6"/>
      <c r="I90" s="6"/>
      <c r="J90" s="6" t="s">
        <v>316</v>
      </c>
      <c r="K90" s="6"/>
      <c r="L90" s="6"/>
      <c r="M90" s="6"/>
      <c r="N90" s="4" t="s">
        <v>16</v>
      </c>
      <c r="O90" s="6" t="s">
        <v>17</v>
      </c>
    </row>
    <row r="91" spans="1:15" s="3" customFormat="1" x14ac:dyDescent="0.3">
      <c r="A91" s="3" t="s">
        <v>317</v>
      </c>
      <c r="B91" s="4" t="s">
        <v>317</v>
      </c>
      <c r="C91" s="5" t="s">
        <v>18</v>
      </c>
      <c r="D91" s="6" t="s">
        <v>318</v>
      </c>
      <c r="E91" s="6" t="s">
        <v>352</v>
      </c>
      <c r="F91" s="6" t="str">
        <f t="shared" si="1"/>
        <v>Триплекс фигурный6 мм;  600×500 мм</v>
      </c>
      <c r="G91" s="6" t="s">
        <v>319</v>
      </c>
      <c r="H91" s="6"/>
      <c r="I91" s="6"/>
      <c r="J91" s="6" t="s">
        <v>320</v>
      </c>
      <c r="K91" s="6"/>
      <c r="L91" s="6"/>
      <c r="M91" s="6"/>
      <c r="N91" s="4" t="s">
        <v>16</v>
      </c>
      <c r="O91" s="6" t="s">
        <v>17</v>
      </c>
    </row>
    <row r="92" spans="1:15" s="3" customFormat="1" ht="28.8" x14ac:dyDescent="0.3">
      <c r="A92" s="3" t="s">
        <v>321</v>
      </c>
      <c r="B92" s="4" t="s">
        <v>321</v>
      </c>
      <c r="C92" s="5" t="s">
        <v>18</v>
      </c>
      <c r="D92" s="6" t="s">
        <v>322</v>
      </c>
      <c r="E92" s="6" t="s">
        <v>352</v>
      </c>
      <c r="F92" s="6" t="str">
        <f t="shared" si="1"/>
        <v>Триплекс фигурный R10 576 - 6 мм х 600 мм х 500 мм</v>
      </c>
      <c r="G92" s="6" t="s">
        <v>323</v>
      </c>
      <c r="H92" s="6"/>
      <c r="I92" s="6"/>
      <c r="J92" s="6" t="s">
        <v>324</v>
      </c>
      <c r="K92" s="6"/>
      <c r="L92" s="6"/>
      <c r="M92" s="6"/>
      <c r="N92" s="4" t="s">
        <v>16</v>
      </c>
      <c r="O92" s="6" t="s">
        <v>17</v>
      </c>
    </row>
    <row r="93" spans="1:15" s="3" customFormat="1" ht="28.8" x14ac:dyDescent="0.3">
      <c r="A93" s="3" t="s">
        <v>325</v>
      </c>
      <c r="B93" s="4" t="s">
        <v>325</v>
      </c>
      <c r="C93" s="5" t="s">
        <v>18</v>
      </c>
      <c r="D93" s="6" t="s">
        <v>326</v>
      </c>
      <c r="E93" s="6" t="s">
        <v>352</v>
      </c>
      <c r="F93" s="6" t="str">
        <f t="shared" si="1"/>
        <v>Труба из кварцевого стекла12 х15 х 500 мм</v>
      </c>
      <c r="G93" s="6" t="s">
        <v>327</v>
      </c>
      <c r="H93" s="6"/>
      <c r="I93" s="6"/>
      <c r="J93" s="6" t="s">
        <v>328</v>
      </c>
      <c r="K93" s="6"/>
      <c r="L93" s="6"/>
      <c r="M93" s="6"/>
      <c r="N93" s="4" t="s">
        <v>16</v>
      </c>
      <c r="O93" s="6" t="s">
        <v>17</v>
      </c>
    </row>
    <row r="94" spans="1:15" s="3" customFormat="1" ht="28.8" x14ac:dyDescent="0.3">
      <c r="A94" s="3" t="s">
        <v>329</v>
      </c>
      <c r="B94" s="4" t="s">
        <v>329</v>
      </c>
      <c r="C94" s="5" t="s">
        <v>18</v>
      </c>
      <c r="D94" s="6" t="s">
        <v>330</v>
      </c>
      <c r="E94" s="6" t="s">
        <v>352</v>
      </c>
      <c r="F94" s="6" t="str">
        <f t="shared" si="1"/>
        <v>Труба из кварцевого стекла15 мм х 2 мм х 935 мм</v>
      </c>
      <c r="G94" s="6" t="s">
        <v>327</v>
      </c>
      <c r="H94" s="6"/>
      <c r="I94" s="6"/>
      <c r="J94" s="6" t="s">
        <v>331</v>
      </c>
      <c r="K94" s="6"/>
      <c r="L94" s="6"/>
      <c r="M94" s="6"/>
      <c r="N94" s="4" t="s">
        <v>16</v>
      </c>
      <c r="O94" s="6" t="s">
        <v>17</v>
      </c>
    </row>
    <row r="95" spans="1:15" s="3" customFormat="1" x14ac:dyDescent="0.3">
      <c r="A95" s="3" t="s">
        <v>332</v>
      </c>
      <c r="B95" s="4" t="s">
        <v>332</v>
      </c>
      <c r="C95" s="5" t="s">
        <v>18</v>
      </c>
      <c r="D95" s="6" t="s">
        <v>333</v>
      </c>
      <c r="E95" s="6" t="s">
        <v>352</v>
      </c>
      <c r="F95" s="6" t="str">
        <f t="shared" si="1"/>
        <v>Труба стекловолокно40×67 мм</v>
      </c>
      <c r="G95" s="6" t="s">
        <v>334</v>
      </c>
      <c r="H95" s="6"/>
      <c r="I95" s="6"/>
      <c r="J95" s="6" t="s">
        <v>335</v>
      </c>
      <c r="K95" s="6"/>
      <c r="L95" s="6"/>
      <c r="M95" s="6"/>
      <c r="N95" s="4" t="s">
        <v>16</v>
      </c>
      <c r="O95" s="6" t="s">
        <v>17</v>
      </c>
    </row>
    <row r="96" spans="1:15" s="3" customFormat="1" ht="28.8" x14ac:dyDescent="0.3">
      <c r="A96" s="3" t="s">
        <v>336</v>
      </c>
      <c r="B96" s="4"/>
      <c r="C96" s="5" t="s">
        <v>18</v>
      </c>
      <c r="D96" s="6" t="s">
        <v>337</v>
      </c>
      <c r="E96" s="6" t="s">
        <v>352</v>
      </c>
      <c r="F96" s="6" t="str">
        <f t="shared" si="1"/>
        <v>Трубка водоуказательная Ø14×2 мм, L=1500 мм</v>
      </c>
      <c r="G96" s="6" t="s">
        <v>338</v>
      </c>
      <c r="H96" s="6"/>
      <c r="I96" s="6"/>
      <c r="J96" s="6" t="s">
        <v>339</v>
      </c>
      <c r="K96" s="6"/>
      <c r="L96" s="6"/>
      <c r="M96" s="6"/>
      <c r="N96" s="4" t="s">
        <v>16</v>
      </c>
      <c r="O96" s="6" t="s">
        <v>17</v>
      </c>
    </row>
    <row r="97" spans="1:15" s="3" customFormat="1" ht="28.8" x14ac:dyDescent="0.3">
      <c r="A97" s="3" t="s">
        <v>340</v>
      </c>
      <c r="B97" s="4" t="s">
        <v>340</v>
      </c>
      <c r="C97" s="5" t="s">
        <v>18</v>
      </c>
      <c r="D97" s="6" t="s">
        <v>341</v>
      </c>
      <c r="E97" s="6" t="s">
        <v>352</v>
      </c>
      <c r="F97" s="6" t="str">
        <f t="shared" si="1"/>
        <v>Трубка кварцевая16×25×1200 мм</v>
      </c>
      <c r="G97" s="6" t="s">
        <v>342</v>
      </c>
      <c r="H97" s="6"/>
      <c r="I97" s="6"/>
      <c r="J97" s="6" t="s">
        <v>343</v>
      </c>
      <c r="K97" s="6"/>
      <c r="L97" s="6" t="s">
        <v>344</v>
      </c>
      <c r="M97" s="6"/>
      <c r="N97" s="4" t="s">
        <v>16</v>
      </c>
      <c r="O97" s="6" t="s">
        <v>17</v>
      </c>
    </row>
    <row r="98" spans="1:15" s="3" customFormat="1" ht="28.8" x14ac:dyDescent="0.3">
      <c r="A98" s="3" t="s">
        <v>345</v>
      </c>
      <c r="B98" s="4" t="s">
        <v>345</v>
      </c>
      <c r="C98" s="5" t="s">
        <v>263</v>
      </c>
      <c r="D98" s="6" t="s">
        <v>346</v>
      </c>
      <c r="E98" s="6" t="s">
        <v>352</v>
      </c>
      <c r="F98" s="6" t="str">
        <f t="shared" si="1"/>
        <v>Трубка цилиндрическая стеклянная Ø13×1.5 мм, L=1500 мм</v>
      </c>
      <c r="G98" s="6" t="s">
        <v>347</v>
      </c>
      <c r="H98" s="6"/>
      <c r="I98" s="6"/>
      <c r="J98" s="6" t="s">
        <v>348</v>
      </c>
      <c r="K98" s="6"/>
      <c r="L98" s="6"/>
      <c r="M98" s="6"/>
      <c r="N98" s="4" t="s">
        <v>16</v>
      </c>
      <c r="O98" s="6" t="s">
        <v>17</v>
      </c>
    </row>
    <row r="99" spans="1:15" s="3" customFormat="1" ht="28.8" x14ac:dyDescent="0.3">
      <c r="A99" s="3" t="s">
        <v>349</v>
      </c>
      <c r="B99" s="4" t="s">
        <v>340</v>
      </c>
      <c r="C99" s="5" t="s">
        <v>18</v>
      </c>
      <c r="D99" s="6" t="s">
        <v>350</v>
      </c>
      <c r="E99" s="6" t="s">
        <v>352</v>
      </c>
      <c r="F99" s="6" t="str">
        <f t="shared" si="1"/>
        <v>Труба из кварцевого стекла16×25×1200 мм</v>
      </c>
      <c r="G99" s="6" t="s">
        <v>327</v>
      </c>
      <c r="H99" s="6"/>
      <c r="I99" s="6"/>
      <c r="J99" s="6" t="s">
        <v>343</v>
      </c>
      <c r="K99" s="6"/>
      <c r="L99" s="6" t="s">
        <v>344</v>
      </c>
      <c r="M99" s="6"/>
      <c r="N99" s="4" t="s">
        <v>16</v>
      </c>
      <c r="O99" s="6" t="s">
        <v>17</v>
      </c>
    </row>
  </sheetData>
  <autoFilter ref="A1:O99" xr:uid="{D0BFB814-7517-4118-BBB0-C2A9057F322A}"/>
  <phoneticPr fontId="2" type="noConversion"/>
  <conditionalFormatting sqref="A1:A99">
    <cfRule type="duplicateValues" dxfId="3" priority="26"/>
  </conditionalFormatting>
  <conditionalFormatting sqref="B1:B99">
    <cfRule type="cellIs" dxfId="2" priority="28" operator="equal">
      <formula>"Удалить"</formula>
    </cfRule>
    <cfRule type="duplicateValues" dxfId="1" priority="29"/>
  </conditionalFormatting>
  <conditionalFormatting sqref="N1:N99">
    <cfRule type="duplicateValues" dxfId="0" priority="3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Суворова Екатерина Викторовна</dc:creator>
  <cp:lastModifiedBy>Ани Гегамян</cp:lastModifiedBy>
  <dcterms:created xsi:type="dcterms:W3CDTF">2026-06-15T11:45:45Z</dcterms:created>
  <dcterms:modified xsi:type="dcterms:W3CDTF">2026-07-08T12:59:30Z</dcterms:modified>
</cp:coreProperties>
</file>
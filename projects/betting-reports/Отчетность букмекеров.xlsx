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онбет" sheetId="1" r:id="rId4"/>
    <sheet state="visible" name="Winline" sheetId="2" r:id="rId5"/>
    <sheet state="visible" name="BetBoom" sheetId="3" r:id="rId6"/>
    <sheet state="visible" name="PARI" sheetId="4" r:id="rId7"/>
    <sheet state="visible" name="Лига Ставок" sheetId="5" r:id="rId8"/>
    <sheet state="visible" name="Бетсити" sheetId="6" r:id="rId9"/>
    <sheet state="visible" name="Olimpbet" sheetId="7" r:id="rId10"/>
  </sheets>
  <definedNames>
    <definedName hidden="1" localSheetId="0" name="_xlnm._FilterDatabase">'Фонбет'!$A$1:$Q$985</definedName>
    <definedName hidden="1" localSheetId="1" name="_xlnm._FilterDatabase">Winline!$A$1:$Q$985</definedName>
    <definedName hidden="1" localSheetId="2" name="_xlnm._FilterDatabase">BetBoom!$A$1:$Q$986</definedName>
    <definedName hidden="1" localSheetId="3" name="_xlnm._FilterDatabase">PARI!$A$1:$Q$986</definedName>
    <definedName hidden="1" localSheetId="4" name="_xlnm._FilterDatabase">'Лига Ставок'!$A$1:$Q$986</definedName>
    <definedName hidden="1" localSheetId="5" name="_xlnm._FilterDatabase">'Бетсити'!$A$1:$Q$985</definedName>
    <definedName hidden="1" localSheetId="6" name="_xlnm._FilterDatabase">Olimpbet!$A$1:$Q$985</definedName>
  </definedNames>
  <calcPr/>
</workbook>
</file>

<file path=xl/sharedStrings.xml><?xml version="1.0" encoding="utf-8"?>
<sst xmlns="http://schemas.openxmlformats.org/spreadsheetml/2006/main" count="179" uniqueCount="60">
  <si>
    <t>2020</t>
  </si>
  <si>
    <t>Выручка</t>
  </si>
  <si>
    <t>Доля на рынке</t>
  </si>
  <si>
    <t>Выигрыши</t>
  </si>
  <si>
    <t>-</t>
  </si>
  <si>
    <t>GGR</t>
  </si>
  <si>
    <t>% GGR</t>
  </si>
  <si>
    <t>Прибыль/убыток</t>
  </si>
  <si>
    <t>ЦО</t>
  </si>
  <si>
    <t>Зарплаты</t>
  </si>
  <si>
    <t>Штат сотрудников</t>
  </si>
  <si>
    <t>2336 чел.</t>
  </si>
  <si>
    <t>2387 чел.</t>
  </si>
  <si>
    <t>1090 чел.</t>
  </si>
  <si>
    <t>Коммерческие</t>
  </si>
  <si>
    <t>https://dumpster.cdn.sports.ru/a/78/b07b735d6700a47edffd0ce9db7e2.png</t>
  </si>
  <si>
    <t>Основан: 1994 г.</t>
  </si>
  <si>
    <t>ООО «Фонкор»</t>
  </si>
  <si>
    <t>456 чел.</t>
  </si>
  <si>
    <t>426 чел.</t>
  </si>
  <si>
    <t>438 чел.</t>
  </si>
  <si>
    <t>333 чел.</t>
  </si>
  <si>
    <t>313 чел.</t>
  </si>
  <si>
    <t>https://dumpster.cdn.sports.ru/f/07/e1fcaa04a82e37c2c1547b219c9a3.png</t>
  </si>
  <si>
    <t>Основан: 2009 г.</t>
  </si>
  <si>
    <t>ООО «Управляющая компания НКС»</t>
  </si>
  <si>
    <t>2408 чел.</t>
  </si>
  <si>
    <t>2453 чел.</t>
  </si>
  <si>
    <t>2409 чел.</t>
  </si>
  <si>
    <t>2367 чел.</t>
  </si>
  <si>
    <t>2181 чел.</t>
  </si>
  <si>
    <t>https://dumpster.cdn.sports.ru/7/43/acbd9203051c1ce90b0d4dec9eda6.png</t>
  </si>
  <si>
    <t>Основан: 2011 г.</t>
  </si>
  <si>
    <t>ООО Фирма «СТОМ»</t>
  </si>
  <si>
    <t>225 чел.</t>
  </si>
  <si>
    <t>214 чел.</t>
  </si>
  <si>
    <t>124 чел.</t>
  </si>
  <si>
    <t>https://dumpster.cdn.sports.ru/d/db/b54f45685e9d856a24d19aa552407.png</t>
  </si>
  <si>
    <t>Основан: 2022 г.</t>
  </si>
  <si>
    <t>ООО «БК «Пари»</t>
  </si>
  <si>
    <t>1674 чел.</t>
  </si>
  <si>
    <t>1607 чел.</t>
  </si>
  <si>
    <t>1445 чел.</t>
  </si>
  <si>
    <t>1319 чел.</t>
  </si>
  <si>
    <t>1700 чел.</t>
  </si>
  <si>
    <t>https://dumpster.cdn.sports.ru/6/8f/bd68373886785d23edc439ead183c.png</t>
  </si>
  <si>
    <t>Основан: 2008 г.</t>
  </si>
  <si>
    <t>ООО «ПМБК»</t>
  </si>
  <si>
    <t>657 чел.</t>
  </si>
  <si>
    <t>610 чел.</t>
  </si>
  <si>
    <t>543 чел.</t>
  </si>
  <si>
    <t>578 чел.</t>
  </si>
  <si>
    <t>https://dumpster.cdn.sports.ru/e/1c/ecd76c23f7b254c26aefe3f95603e.png</t>
  </si>
  <si>
    <t>Основан: 2003 г.</t>
  </si>
  <si>
    <t>ООО «Фортуна»</t>
  </si>
  <si>
    <t>272 чел.</t>
  </si>
  <si>
    <t>197 чел.</t>
  </si>
  <si>
    <t>https://dumpster.cdn.sports.ru/2/b0/5c97702a73c307257587abfccb80e.png</t>
  </si>
  <si>
    <t>Основан: 2012 г.</t>
  </si>
  <si>
    <t>ООО «БК «Олимп»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</si>
</sst>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Proxima Nov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a/78/b07b735d6700a47edffd0ce9db7e2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f/07/e1fcaa04a82e37c2c1547b219c9a3.p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7/43/acbd9203051c1ce90b0d4dec9eda6.p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d/db/b54f45685e9d856a24d19aa552407.p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6/8f/bd68373886785d23edc439ead183c.p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e/1c/ecd76c23f7b254c26aefe3f95603e.p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er.cdn.sports.ru/2/b0/5c97702a73c307257587abfccb80e.p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6.08814966E8</v>
      </c>
      <c r="C2" s="5">
        <v>4.35639822E8</v>
      </c>
      <c r="D2" s="5">
        <v>2.20778088E8</v>
      </c>
      <c r="E2" s="5">
        <v>2.644E8</v>
      </c>
      <c r="F2" s="5">
        <v>5.2188345E7</v>
      </c>
      <c r="G2" s="5">
        <v>3.8063555E7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2" t="s">
        <v>2</v>
      </c>
      <c r="B3" s="6">
        <f t="shared" ref="B3:G3" si="1">ROUND(B2/B13,4)</f>
        <v>0.3519</v>
      </c>
      <c r="C3" s="6">
        <f t="shared" si="1"/>
        <v>0.3571</v>
      </c>
      <c r="D3" s="6">
        <f t="shared" si="1"/>
        <v>0.2511</v>
      </c>
      <c r="E3" s="6">
        <f t="shared" si="1"/>
        <v>0.3581</v>
      </c>
      <c r="F3" s="6">
        <f t="shared" si="1"/>
        <v>0.2193</v>
      </c>
      <c r="G3" s="6">
        <f t="shared" si="1"/>
        <v>0.2768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2" t="s">
        <v>3</v>
      </c>
      <c r="B4" s="5">
        <v>4.67981881E8</v>
      </c>
      <c r="C4" s="5">
        <v>3.27826875E8</v>
      </c>
      <c r="D4" s="5">
        <v>1.6691033E8</v>
      </c>
      <c r="E4" s="5">
        <f>E2-E5</f>
        <v>196001841</v>
      </c>
      <c r="F4" s="5" t="s">
        <v>4</v>
      </c>
      <c r="G4" s="5" t="s">
        <v>4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D5" si="2">B2-B4</f>
        <v>140833085</v>
      </c>
      <c r="C5" s="5">
        <f t="shared" si="2"/>
        <v>107812947</v>
      </c>
      <c r="D5" s="5">
        <f t="shared" si="2"/>
        <v>53867758</v>
      </c>
      <c r="E5" s="5">
        <v>6.8398159E7</v>
      </c>
      <c r="F5" s="5" t="s">
        <v>4</v>
      </c>
      <c r="G5" s="5" t="s">
        <v>4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2" t="s">
        <v>6</v>
      </c>
      <c r="B6" s="6">
        <f t="shared" ref="B6:E6" si="3">B5/B2</f>
        <v>0.2313232967</v>
      </c>
      <c r="C6" s="6">
        <f t="shared" si="3"/>
        <v>0.2474818452</v>
      </c>
      <c r="D6" s="6">
        <f t="shared" si="3"/>
        <v>0.2439905087</v>
      </c>
      <c r="E6" s="6">
        <f t="shared" si="3"/>
        <v>0.2586919781</v>
      </c>
      <c r="F6" s="6" t="s">
        <v>4</v>
      </c>
      <c r="G6" s="6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3.7442689E7</v>
      </c>
      <c r="C7" s="5">
        <v>5.9202016E7</v>
      </c>
      <c r="D7" s="5">
        <v>2.6356823E7</v>
      </c>
      <c r="E7" s="5">
        <v>2.9711893E7</v>
      </c>
      <c r="F7" s="5">
        <v>2.3297824E7</v>
      </c>
      <c r="G7" s="5">
        <v>1.9396312E7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1.2121551E7</v>
      </c>
      <c r="C8" s="5">
        <v>6508549.0</v>
      </c>
      <c r="D8" s="5">
        <v>3233239.0</v>
      </c>
      <c r="E8" s="5">
        <v>3536000.0</v>
      </c>
      <c r="F8" s="5">
        <v>818000.0</v>
      </c>
      <c r="G8" s="5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6524534.0</v>
      </c>
      <c r="C9" s="5">
        <v>5751054.0</v>
      </c>
      <c r="D9" s="5">
        <v>2394348.0</v>
      </c>
      <c r="E9" s="5">
        <v>3980270.0</v>
      </c>
      <c r="F9" s="5">
        <v>3171602.0</v>
      </c>
      <c r="G9" s="5">
        <v>1641204.0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5" t="s">
        <v>11</v>
      </c>
      <c r="C10" s="5" t="s">
        <v>12</v>
      </c>
      <c r="D10" s="5" t="s">
        <v>13</v>
      </c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14</v>
      </c>
      <c r="B11" s="5">
        <v>1.8988466E7</v>
      </c>
      <c r="C11" s="5">
        <v>8026017.0</v>
      </c>
      <c r="D11" s="5">
        <v>5796377.0</v>
      </c>
      <c r="E11" s="5" t="s">
        <v>4</v>
      </c>
      <c r="F11" s="5" t="s">
        <v>4</v>
      </c>
      <c r="G11" s="5" t="s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9"/>
      <c r="B13" s="5">
        <v>1.73E9</v>
      </c>
      <c r="C13" s="5">
        <v>1.22E9</v>
      </c>
      <c r="D13" s="5">
        <v>8.792E8</v>
      </c>
      <c r="E13" s="5">
        <v>7.384E8</v>
      </c>
      <c r="F13" s="5">
        <v>2.38E8</v>
      </c>
      <c r="G13" s="5">
        <v>1.375E8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4"/>
      <c r="B14" s="4"/>
      <c r="C14" s="4"/>
      <c r="D14" s="4"/>
      <c r="E14" s="5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0" t="s">
        <v>15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5" t="s">
        <v>16</v>
      </c>
      <c r="B16" s="9"/>
      <c r="C16" s="11"/>
      <c r="D16" s="11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>
      <c r="A17" s="2" t="s">
        <v>17</v>
      </c>
      <c r="B17" s="4"/>
      <c r="C17" s="4"/>
      <c r="D17" s="4"/>
      <c r="E17" s="5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</sheetData>
  <autoFilter ref="$A$1:$Q$985"/>
  <hyperlinks>
    <hyperlink r:id="rId1" ref="A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4.14987076E8</v>
      </c>
      <c r="C2" s="5">
        <v>2.77265386E8</v>
      </c>
      <c r="D2" s="5">
        <v>1.66095865E8</v>
      </c>
      <c r="E2" s="5">
        <v>1.11161E8</v>
      </c>
      <c r="F2" s="5">
        <v>4.7946754E7</v>
      </c>
      <c r="G2" s="5">
        <v>2.9581641E7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G3" si="1">B2/B13</f>
        <v>0.2398769225</v>
      </c>
      <c r="C3" s="6">
        <f t="shared" si="1"/>
        <v>0.2272667098</v>
      </c>
      <c r="D3" s="6">
        <f t="shared" si="1"/>
        <v>0.1889170439</v>
      </c>
      <c r="E3" s="6">
        <f t="shared" si="1"/>
        <v>0.1505430661</v>
      </c>
      <c r="F3" s="6">
        <f t="shared" si="1"/>
        <v>0.2014569496</v>
      </c>
      <c r="G3" s="6">
        <f t="shared" si="1"/>
        <v>0.2151392073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3.1507056E8</v>
      </c>
      <c r="C4" s="5">
        <v>2.06113535E8</v>
      </c>
      <c r="D4" s="5">
        <v>1.32425226E8</v>
      </c>
      <c r="E4" s="5">
        <v>8.9093871E7</v>
      </c>
      <c r="F4" s="5">
        <v>3.770936E7</v>
      </c>
      <c r="G4" s="5">
        <v>2.3517501E7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G5" si="2">B2-B4</f>
        <v>99916516</v>
      </c>
      <c r="C5" s="5">
        <f t="shared" si="2"/>
        <v>71151851</v>
      </c>
      <c r="D5" s="5">
        <f t="shared" si="2"/>
        <v>33670639</v>
      </c>
      <c r="E5" s="5">
        <f t="shared" si="2"/>
        <v>22067129</v>
      </c>
      <c r="F5" s="5">
        <f t="shared" si="2"/>
        <v>10237394</v>
      </c>
      <c r="G5" s="5">
        <f t="shared" si="2"/>
        <v>6064140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G6" si="3">B5/B2</f>
        <v>0.2407701873</v>
      </c>
      <c r="C6" s="6">
        <f t="shared" si="3"/>
        <v>0.2566200276</v>
      </c>
      <c r="D6" s="6">
        <f t="shared" si="3"/>
        <v>0.202718105</v>
      </c>
      <c r="E6" s="6">
        <f t="shared" si="3"/>
        <v>0.1985150278</v>
      </c>
      <c r="F6" s="6">
        <f t="shared" si="3"/>
        <v>0.2135158931</v>
      </c>
      <c r="G6" s="6">
        <f t="shared" si="3"/>
        <v>0.2049967411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2.7748572E7</v>
      </c>
      <c r="C7" s="5">
        <v>2.686358E7</v>
      </c>
      <c r="D7" s="5">
        <v>1.3138E7</v>
      </c>
      <c r="E7" s="5">
        <v>9905097.0</v>
      </c>
      <c r="F7" s="5">
        <v>3989677.0</v>
      </c>
      <c r="G7" s="5">
        <v>2606959.0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9112874.0</v>
      </c>
      <c r="C8" s="5">
        <v>4163411.0</v>
      </c>
      <c r="D8" s="5">
        <v>2491000.0</v>
      </c>
      <c r="E8" s="5" t="s">
        <v>4</v>
      </c>
      <c r="F8" s="5" t="s">
        <v>4</v>
      </c>
      <c r="G8" s="5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2063978.0</v>
      </c>
      <c r="C9" s="5">
        <v>1497027.0</v>
      </c>
      <c r="D9" s="5">
        <v>1069751.0</v>
      </c>
      <c r="E9" s="5">
        <v>678994.0</v>
      </c>
      <c r="F9" s="5">
        <v>474952.0</v>
      </c>
      <c r="G9" s="5">
        <v>276381.0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5" t="s">
        <v>18</v>
      </c>
      <c r="C10" s="11" t="s">
        <v>19</v>
      </c>
      <c r="D10" s="5" t="s">
        <v>20</v>
      </c>
      <c r="E10" s="5" t="s">
        <v>21</v>
      </c>
      <c r="F10" s="5" t="s">
        <v>22</v>
      </c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14</v>
      </c>
      <c r="B11" s="5">
        <v>4.0945575E7</v>
      </c>
      <c r="C11" s="5">
        <v>1.7111829E7</v>
      </c>
      <c r="D11" s="5" t="s">
        <v>4</v>
      </c>
      <c r="E11" s="5" t="s">
        <v>4</v>
      </c>
      <c r="F11" s="5" t="s">
        <v>4</v>
      </c>
      <c r="G11" s="5" t="s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9"/>
      <c r="B13" s="5">
        <v>1.73E9</v>
      </c>
      <c r="C13" s="5">
        <v>1.22E9</v>
      </c>
      <c r="D13" s="5">
        <v>8.792E8</v>
      </c>
      <c r="E13" s="5">
        <v>7.384E8</v>
      </c>
      <c r="F13" s="5">
        <v>2.38E8</v>
      </c>
      <c r="G13" s="5">
        <v>1.375E8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4"/>
      <c r="B14" s="4"/>
      <c r="C14" s="4"/>
      <c r="D14" s="4"/>
      <c r="E14" s="4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2" t="s">
        <v>23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5" t="s">
        <v>24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1" t="s">
        <v>25</v>
      </c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</sheetData>
  <autoFilter ref="$A$1:$Q$985"/>
  <hyperlinks>
    <hyperlink r:id="rId1" ref="A1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2.27176062E8</v>
      </c>
      <c r="C2" s="5">
        <v>1.35208591E8</v>
      </c>
      <c r="D2" s="5">
        <v>5.8672282E7</v>
      </c>
      <c r="E2" s="5">
        <v>3.6059236E7</v>
      </c>
      <c r="F2" s="5">
        <v>1.9328129E7</v>
      </c>
      <c r="G2" s="5">
        <v>2.0154483E7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G3" si="1">B2/B13</f>
        <v>0.1313156428</v>
      </c>
      <c r="C3" s="6">
        <f t="shared" si="1"/>
        <v>0.1108267139</v>
      </c>
      <c r="D3" s="6">
        <f t="shared" si="1"/>
        <v>0.06673371474</v>
      </c>
      <c r="E3" s="6">
        <f t="shared" si="1"/>
        <v>0.04883428494</v>
      </c>
      <c r="F3" s="6">
        <f t="shared" si="1"/>
        <v>0.08121062605</v>
      </c>
      <c r="G3" s="6">
        <f t="shared" si="1"/>
        <v>0.1465780582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1.70539014E8</v>
      </c>
      <c r="C4" s="5">
        <v>1.07510411E8</v>
      </c>
      <c r="D4" s="5">
        <v>4.7840606E7</v>
      </c>
      <c r="E4" s="5">
        <v>3.0204593E7</v>
      </c>
      <c r="F4" s="5">
        <v>1.3690107E7</v>
      </c>
      <c r="G4" s="5">
        <v>1.4793978E7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G5" si="2">B2-B4</f>
        <v>56637048</v>
      </c>
      <c r="C5" s="5">
        <f t="shared" si="2"/>
        <v>27698180</v>
      </c>
      <c r="D5" s="5">
        <f t="shared" si="2"/>
        <v>10831676</v>
      </c>
      <c r="E5" s="5">
        <f t="shared" si="2"/>
        <v>5854643</v>
      </c>
      <c r="F5" s="5">
        <f t="shared" si="2"/>
        <v>5638022</v>
      </c>
      <c r="G5" s="5">
        <f t="shared" si="2"/>
        <v>5360505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G6" si="3">B5/B2</f>
        <v>0.2493090491</v>
      </c>
      <c r="C6" s="6">
        <f t="shared" si="3"/>
        <v>0.2048551782</v>
      </c>
      <c r="D6" s="6">
        <f t="shared" si="3"/>
        <v>0.1846131705</v>
      </c>
      <c r="E6" s="6">
        <f t="shared" si="3"/>
        <v>0.1623618149</v>
      </c>
      <c r="F6" s="6">
        <f t="shared" si="3"/>
        <v>0.2917003503</v>
      </c>
      <c r="G6" s="6">
        <f t="shared" si="3"/>
        <v>0.2659708512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2535898.0</v>
      </c>
      <c r="C7" s="5">
        <v>2966733.0</v>
      </c>
      <c r="D7" s="5">
        <v>948141.0</v>
      </c>
      <c r="E7" s="5">
        <v>-548336.0</v>
      </c>
      <c r="F7" s="5">
        <v>1194512.0</v>
      </c>
      <c r="G7" s="5">
        <v>480258.0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4393284.0</v>
      </c>
      <c r="C8" s="5">
        <v>2009157.0</v>
      </c>
      <c r="D8" s="5">
        <v>880084.0</v>
      </c>
      <c r="E8" s="5" t="s">
        <v>4</v>
      </c>
      <c r="F8" s="5" t="s">
        <v>4</v>
      </c>
      <c r="G8" s="5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1150207.0</v>
      </c>
      <c r="C9" s="5">
        <v>1026609.0</v>
      </c>
      <c r="D9" s="5">
        <v>758177.0</v>
      </c>
      <c r="E9" s="5">
        <v>691528.0</v>
      </c>
      <c r="F9" s="5">
        <v>638811.0</v>
      </c>
      <c r="G9" s="5">
        <v>672503.0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5" t="s">
        <v>26</v>
      </c>
      <c r="C10" s="13" t="s">
        <v>27</v>
      </c>
      <c r="D10" s="13" t="s">
        <v>28</v>
      </c>
      <c r="E10" s="13" t="s">
        <v>29</v>
      </c>
      <c r="F10" s="13" t="s">
        <v>30</v>
      </c>
      <c r="G10" s="5" t="s"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14</v>
      </c>
      <c r="B11" s="5">
        <v>8451645.0</v>
      </c>
      <c r="C11" s="5">
        <v>3758893.0</v>
      </c>
      <c r="D11" s="5">
        <v>1349116.0</v>
      </c>
      <c r="E11" s="5">
        <v>813911.0</v>
      </c>
      <c r="F11" s="5">
        <v>279028.0</v>
      </c>
      <c r="G11" s="5">
        <v>150973.0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9"/>
      <c r="B13" s="5">
        <v>1.73E9</v>
      </c>
      <c r="C13" s="5">
        <v>1.22E9</v>
      </c>
      <c r="D13" s="5">
        <v>8.792E8</v>
      </c>
      <c r="E13" s="5">
        <v>7.384E8</v>
      </c>
      <c r="F13" s="5">
        <v>2.38E8</v>
      </c>
      <c r="G13" s="5">
        <v>1.375E8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4"/>
      <c r="B14" s="13"/>
      <c r="C14" s="13"/>
      <c r="D14" s="13"/>
      <c r="E14" s="13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0" t="s">
        <v>31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5" t="s">
        <v>32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1" t="s">
        <v>33</v>
      </c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</sheetData>
  <autoFilter ref="$A$1:$Q$986"/>
  <hyperlinks>
    <hyperlink r:id="rId1" ref="A1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1.33238488E8</v>
      </c>
      <c r="C2" s="5">
        <v>9.376318E7</v>
      </c>
      <c r="D2" s="5">
        <v>3.8776171E7</v>
      </c>
      <c r="E2" s="5" t="s">
        <v>4</v>
      </c>
      <c r="F2" s="5" t="s">
        <v>4</v>
      </c>
      <c r="G2" s="5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D3" si="1">B2/B13</f>
        <v>0.07701646705</v>
      </c>
      <c r="C3" s="6">
        <f t="shared" si="1"/>
        <v>0.07685506557</v>
      </c>
      <c r="D3" s="6">
        <f t="shared" si="1"/>
        <v>0.04410392516</v>
      </c>
      <c r="E3" s="5" t="s">
        <v>4</v>
      </c>
      <c r="F3" s="5" t="s">
        <v>4</v>
      </c>
      <c r="G3" s="5" t="s">
        <v>4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1.10645815E8</v>
      </c>
      <c r="C4" s="5">
        <v>7.8121179E7</v>
      </c>
      <c r="D4" s="5">
        <v>3.2985353E7</v>
      </c>
      <c r="E4" s="5" t="s">
        <v>4</v>
      </c>
      <c r="F4" s="5" t="s">
        <v>4</v>
      </c>
      <c r="G4" s="5" t="s">
        <v>4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D5" si="2">B2-B4</f>
        <v>22592673</v>
      </c>
      <c r="C5" s="5">
        <f t="shared" si="2"/>
        <v>15642001</v>
      </c>
      <c r="D5" s="5">
        <f t="shared" si="2"/>
        <v>5790818</v>
      </c>
      <c r="E5" s="5" t="s">
        <v>4</v>
      </c>
      <c r="F5" s="5" t="s">
        <v>4</v>
      </c>
      <c r="G5" s="5" t="s">
        <v>4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D6" si="3">B5/B2</f>
        <v>0.1695656663</v>
      </c>
      <c r="C6" s="6">
        <f t="shared" si="3"/>
        <v>0.1668245574</v>
      </c>
      <c r="D6" s="6">
        <f t="shared" si="3"/>
        <v>0.1493396034</v>
      </c>
      <c r="E6" s="5" t="s">
        <v>4</v>
      </c>
      <c r="F6" s="5" t="s">
        <v>4</v>
      </c>
      <c r="G6" s="5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8307062.0</v>
      </c>
      <c r="C7" s="5">
        <v>1.0598246E7</v>
      </c>
      <c r="D7" s="5">
        <v>2046381.0</v>
      </c>
      <c r="E7" s="5" t="s">
        <v>4</v>
      </c>
      <c r="F7" s="5" t="s">
        <v>4</v>
      </c>
      <c r="G7" s="5" t="s">
        <v>4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2664769.0</v>
      </c>
      <c r="C8" s="5">
        <v>1406447.0</v>
      </c>
      <c r="D8" s="5">
        <v>581642.0</v>
      </c>
      <c r="E8" s="5" t="s">
        <v>4</v>
      </c>
      <c r="F8" s="5" t="s">
        <v>4</v>
      </c>
      <c r="G8" s="5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770172.0</v>
      </c>
      <c r="C9" s="5">
        <v>625081.0</v>
      </c>
      <c r="D9" s="5">
        <v>343196.0</v>
      </c>
      <c r="E9" s="5" t="s">
        <v>4</v>
      </c>
      <c r="F9" s="5" t="s">
        <v>4</v>
      </c>
      <c r="G9" s="5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15" t="s">
        <v>34</v>
      </c>
      <c r="C10" s="15" t="s">
        <v>35</v>
      </c>
      <c r="D10" s="15" t="s">
        <v>36</v>
      </c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14</v>
      </c>
      <c r="B11" s="5">
        <v>5645495.0</v>
      </c>
      <c r="C11" s="5">
        <v>4115172.0</v>
      </c>
      <c r="D11" s="5">
        <v>2981452.0</v>
      </c>
      <c r="E11" s="5" t="s">
        <v>4</v>
      </c>
      <c r="F11" s="5" t="s">
        <v>4</v>
      </c>
      <c r="G11" s="5" t="s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9"/>
      <c r="B13" s="5">
        <v>1.73E9</v>
      </c>
      <c r="C13" s="5">
        <v>1.22E9</v>
      </c>
      <c r="D13" s="5">
        <v>8.792E8</v>
      </c>
      <c r="E13" s="5">
        <v>7.384E8</v>
      </c>
      <c r="F13" s="5">
        <v>2.38E8</v>
      </c>
      <c r="G13" s="5">
        <v>1.375E8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4"/>
      <c r="B14" s="4"/>
      <c r="C14" s="4"/>
      <c r="D14" s="4"/>
      <c r="E14" s="4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0" t="s">
        <v>37</v>
      </c>
      <c r="B15" s="15"/>
      <c r="C15" s="15"/>
      <c r="D15" s="15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5" t="s">
        <v>38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1" t="s">
        <v>39</v>
      </c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</sheetData>
  <autoFilter ref="$A$1:$Q$986"/>
  <hyperlinks>
    <hyperlink r:id="rId1" ref="A1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1.17730351E8</v>
      </c>
      <c r="C2" s="5">
        <v>9.6164662E7</v>
      </c>
      <c r="D2" s="5">
        <v>7.1526031E7</v>
      </c>
      <c r="E2" s="5">
        <v>6.9166214E7</v>
      </c>
      <c r="F2" s="5">
        <v>4.1822398E7</v>
      </c>
      <c r="G2" s="5">
        <v>4.9464788E7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G3" si="1">B2/B13</f>
        <v>0.06805222601</v>
      </c>
      <c r="C3" s="6">
        <f t="shared" si="1"/>
        <v>0.07882349344</v>
      </c>
      <c r="D3" s="6">
        <f t="shared" si="1"/>
        <v>0.08135353844</v>
      </c>
      <c r="E3" s="6">
        <f t="shared" si="1"/>
        <v>0.09367038732</v>
      </c>
      <c r="F3" s="6">
        <f t="shared" si="1"/>
        <v>0.1757243613</v>
      </c>
      <c r="G3" s="6">
        <f t="shared" si="1"/>
        <v>0.3597439127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8.7804023E7</v>
      </c>
      <c r="C4" s="5">
        <v>7.1655572E7</v>
      </c>
      <c r="D4" s="5">
        <v>5.2916293E7</v>
      </c>
      <c r="E4" s="5">
        <v>5.2979991E7</v>
      </c>
      <c r="F4" s="5">
        <v>3.1753094E7</v>
      </c>
      <c r="G4" s="5">
        <v>3.9744516E7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G5" si="2">B2-B4</f>
        <v>29926328</v>
      </c>
      <c r="C5" s="5">
        <f t="shared" si="2"/>
        <v>24509090</v>
      </c>
      <c r="D5" s="5">
        <f t="shared" si="2"/>
        <v>18609738</v>
      </c>
      <c r="E5" s="5">
        <f t="shared" si="2"/>
        <v>16186223</v>
      </c>
      <c r="F5" s="5">
        <f t="shared" si="2"/>
        <v>10069304</v>
      </c>
      <c r="G5" s="5">
        <f t="shared" si="2"/>
        <v>9720272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G6" si="3">B5/B2</f>
        <v>0.254193823</v>
      </c>
      <c r="C6" s="6">
        <f t="shared" si="3"/>
        <v>0.2548658675</v>
      </c>
      <c r="D6" s="6">
        <f t="shared" si="3"/>
        <v>0.2601813317</v>
      </c>
      <c r="E6" s="6">
        <f t="shared" si="3"/>
        <v>0.2340192135</v>
      </c>
      <c r="F6" s="6">
        <f t="shared" si="3"/>
        <v>0.2407634302</v>
      </c>
      <c r="G6" s="6">
        <f t="shared" si="3"/>
        <v>0.1965089186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2316153.0</v>
      </c>
      <c r="C7" s="5">
        <v>-20018.0</v>
      </c>
      <c r="D7" s="5">
        <v>-501316.0</v>
      </c>
      <c r="E7" s="5">
        <v>1174491.0</v>
      </c>
      <c r="F7" s="5">
        <v>1104265.0</v>
      </c>
      <c r="G7" s="5">
        <v>1333792.0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2354607.0</v>
      </c>
      <c r="C8" s="5">
        <v>1442469.0</v>
      </c>
      <c r="D8" s="5">
        <v>1072890.0</v>
      </c>
      <c r="E8" s="5" t="s">
        <v>4</v>
      </c>
      <c r="F8" s="5" t="s">
        <v>4</v>
      </c>
      <c r="G8" s="5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4146713.0</v>
      </c>
      <c r="C9" s="5">
        <v>3623438.0</v>
      </c>
      <c r="D9" s="5">
        <v>2892974.0</v>
      </c>
      <c r="E9" s="5">
        <v>2089663.0</v>
      </c>
      <c r="F9" s="5">
        <v>1409856.0</v>
      </c>
      <c r="G9" s="5">
        <v>1447178.0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5" t="s">
        <v>40</v>
      </c>
      <c r="C10" s="13" t="s">
        <v>41</v>
      </c>
      <c r="D10" s="13" t="s">
        <v>42</v>
      </c>
      <c r="E10" s="13" t="s">
        <v>43</v>
      </c>
      <c r="F10" s="13" t="s">
        <v>44</v>
      </c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2" t="s">
        <v>14</v>
      </c>
      <c r="B11" s="5">
        <v>1.0763404E7</v>
      </c>
      <c r="C11" s="5">
        <v>9912459.0</v>
      </c>
      <c r="D11" s="5">
        <v>6704498.0</v>
      </c>
      <c r="E11" s="5">
        <v>4854469.0</v>
      </c>
      <c r="F11" s="5">
        <v>1984467.0</v>
      </c>
      <c r="G11" s="5">
        <v>1021098.0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9"/>
      <c r="B13" s="5">
        <v>1.73E9</v>
      </c>
      <c r="C13" s="5">
        <v>1.22E9</v>
      </c>
      <c r="D13" s="5">
        <v>8.792E8</v>
      </c>
      <c r="E13" s="5">
        <v>7.384E8</v>
      </c>
      <c r="F13" s="5">
        <v>2.38E8</v>
      </c>
      <c r="G13" s="5">
        <v>1.375E8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4"/>
      <c r="B14" s="13"/>
      <c r="C14" s="13"/>
      <c r="D14" s="13"/>
      <c r="E14" s="13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0" t="s">
        <v>45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2" t="s">
        <v>46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2" t="s">
        <v>47</v>
      </c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</sheetData>
  <autoFilter ref="$A$1:$Q$986"/>
  <hyperlinks>
    <hyperlink r:id="rId1" ref="A1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6.7179343E7</v>
      </c>
      <c r="C2" s="5">
        <v>4.9289723E7</v>
      </c>
      <c r="D2" s="5">
        <v>3.690103E7</v>
      </c>
      <c r="E2" s="5">
        <v>2.9480508E7</v>
      </c>
      <c r="F2" s="5">
        <v>1.4603049E7</v>
      </c>
      <c r="G2" s="5">
        <v>1.5812574E7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G3" si="1">B2/B12</f>
        <v>0.03883199017</v>
      </c>
      <c r="C3" s="6">
        <f t="shared" si="1"/>
        <v>0.0404014123</v>
      </c>
      <c r="D3" s="6">
        <f t="shared" si="1"/>
        <v>0.04197114422</v>
      </c>
      <c r="E3" s="6">
        <f t="shared" si="1"/>
        <v>0.03992484832</v>
      </c>
      <c r="F3" s="6">
        <f t="shared" si="1"/>
        <v>0.06135734874</v>
      </c>
      <c r="G3" s="6">
        <f t="shared" si="1"/>
        <v>0.1150005382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5.5626411E7</v>
      </c>
      <c r="C4" s="5">
        <v>4.0752079E7</v>
      </c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G5" si="2">B2-B4</f>
        <v>11552932</v>
      </c>
      <c r="C5" s="5">
        <f t="shared" si="2"/>
        <v>8537644</v>
      </c>
      <c r="D5" s="5">
        <f t="shared" si="2"/>
        <v>36901030</v>
      </c>
      <c r="E5" s="5">
        <f t="shared" si="2"/>
        <v>29480508</v>
      </c>
      <c r="F5" s="5">
        <f t="shared" si="2"/>
        <v>14603049</v>
      </c>
      <c r="G5" s="5">
        <f t="shared" si="2"/>
        <v>15812574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G6" si="3">B5/B2</f>
        <v>0.1719714943</v>
      </c>
      <c r="C6" s="6">
        <f t="shared" si="3"/>
        <v>0.1732134709</v>
      </c>
      <c r="D6" s="6">
        <f t="shared" si="3"/>
        <v>1</v>
      </c>
      <c r="E6" s="6">
        <f t="shared" si="3"/>
        <v>1</v>
      </c>
      <c r="F6" s="6">
        <f t="shared" si="3"/>
        <v>1</v>
      </c>
      <c r="G6" s="6">
        <f t="shared" si="3"/>
        <v>1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5070931.0</v>
      </c>
      <c r="C7" s="5">
        <v>6059518.0</v>
      </c>
      <c r="D7" s="5">
        <v>647428.0</v>
      </c>
      <c r="E7" s="5">
        <v>1148478.0</v>
      </c>
      <c r="F7" s="5">
        <v>123274.0</v>
      </c>
      <c r="G7" s="5">
        <v>858839.0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1329541.0</v>
      </c>
      <c r="C8" s="5">
        <v>774970.0</v>
      </c>
      <c r="D8" s="5">
        <v>554774.0</v>
      </c>
      <c r="E8" s="5">
        <v>264779.0</v>
      </c>
      <c r="F8" s="5">
        <v>60000.0</v>
      </c>
      <c r="G8" s="5">
        <v>60000.0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984022.0</v>
      </c>
      <c r="C9" s="5">
        <v>616906.0</v>
      </c>
      <c r="D9" s="5">
        <v>334911.0</v>
      </c>
      <c r="E9" s="5">
        <v>191407.0</v>
      </c>
      <c r="F9" s="5">
        <v>159848.0</v>
      </c>
      <c r="G9" s="5">
        <v>160289.0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2" t="s">
        <v>48</v>
      </c>
      <c r="C10" s="2" t="s">
        <v>48</v>
      </c>
      <c r="D10" s="2" t="s">
        <v>49</v>
      </c>
      <c r="E10" s="2" t="s">
        <v>50</v>
      </c>
      <c r="F10" s="3" t="s">
        <v>51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/>
      <c r="B11" s="4"/>
      <c r="C11" s="4"/>
      <c r="D11" s="4"/>
      <c r="E11" s="4"/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9"/>
      <c r="B12" s="5">
        <v>1.73E9</v>
      </c>
      <c r="C12" s="5">
        <v>1.22E9</v>
      </c>
      <c r="D12" s="5">
        <v>8.792E8</v>
      </c>
      <c r="E12" s="5">
        <v>7.384E8</v>
      </c>
      <c r="F12" s="5">
        <v>2.38E8</v>
      </c>
      <c r="G12" s="5">
        <v>1.375E8</v>
      </c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4"/>
      <c r="B13" s="4"/>
      <c r="C13" s="4"/>
      <c r="D13" s="4"/>
      <c r="E13" s="4"/>
      <c r="F13" s="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10" t="s">
        <v>52</v>
      </c>
      <c r="B14" s="4"/>
      <c r="C14" s="11"/>
      <c r="D14" s="11"/>
      <c r="E14" s="11"/>
      <c r="F14" s="11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2" t="s">
        <v>53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2" t="s">
        <v>54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</sheetData>
  <autoFilter ref="$A$1:$Q$985"/>
  <hyperlinks>
    <hyperlink r:id="rId1" ref="A1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25"/>
  </cols>
  <sheetData>
    <row r="1">
      <c r="A1" s="1"/>
      <c r="B1" s="2">
        <v>2024.0</v>
      </c>
      <c r="C1" s="2">
        <v>2023.0</v>
      </c>
      <c r="D1" s="2">
        <v>2022.0</v>
      </c>
      <c r="E1" s="2">
        <v>2021.0</v>
      </c>
      <c r="F1" s="3" t="s">
        <v>0</v>
      </c>
      <c r="G1" s="2">
        <v>2019.0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</v>
      </c>
      <c r="B2" s="5">
        <v>6.9225982E7</v>
      </c>
      <c r="C2" s="5">
        <v>5.1969563E7</v>
      </c>
      <c r="D2" s="5">
        <v>3.273069E7</v>
      </c>
      <c r="E2" s="5">
        <v>2.5228422E7</v>
      </c>
      <c r="F2" s="5">
        <v>1.3594015E7</v>
      </c>
      <c r="G2" s="5">
        <v>1.0499086E7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6" t="s">
        <v>2</v>
      </c>
      <c r="B3" s="6">
        <f t="shared" ref="B3:G3" si="1">B2/B12</f>
        <v>0.0400150185</v>
      </c>
      <c r="C3" s="6">
        <f t="shared" si="1"/>
        <v>0.04259800246</v>
      </c>
      <c r="D3" s="6">
        <f t="shared" si="1"/>
        <v>0.03722780937</v>
      </c>
      <c r="E3" s="6">
        <f t="shared" si="1"/>
        <v>0.03416633532</v>
      </c>
      <c r="F3" s="6">
        <f t="shared" si="1"/>
        <v>0.05711771008</v>
      </c>
      <c r="G3" s="6">
        <f t="shared" si="1"/>
        <v>0.07635698909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2" t="s">
        <v>3</v>
      </c>
      <c r="B4" s="5">
        <v>5.3661921E7</v>
      </c>
      <c r="C4" s="5">
        <v>3.9971878E7</v>
      </c>
      <c r="D4" s="5">
        <v>2.5097398E7</v>
      </c>
      <c r="E4" s="5">
        <v>1.925556E7</v>
      </c>
      <c r="F4" s="5">
        <v>1.0320738E7</v>
      </c>
      <c r="G4" s="5">
        <v>8563250.0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2" t="s">
        <v>5</v>
      </c>
      <c r="B5" s="5">
        <f t="shared" ref="B5:G5" si="2">B2-B4</f>
        <v>15564061</v>
      </c>
      <c r="C5" s="5">
        <f t="shared" si="2"/>
        <v>11997685</v>
      </c>
      <c r="D5" s="5">
        <f t="shared" si="2"/>
        <v>7633292</v>
      </c>
      <c r="E5" s="5">
        <f t="shared" si="2"/>
        <v>5972862</v>
      </c>
      <c r="F5" s="5">
        <f t="shared" si="2"/>
        <v>3273277</v>
      </c>
      <c r="G5" s="5">
        <f t="shared" si="2"/>
        <v>1935836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6</v>
      </c>
      <c r="B6" s="6">
        <f t="shared" ref="B6:G6" si="3">B5/B2</f>
        <v>0.2248297612</v>
      </c>
      <c r="C6" s="6">
        <f t="shared" si="3"/>
        <v>0.23085984</v>
      </c>
      <c r="D6" s="6">
        <f t="shared" si="3"/>
        <v>0.2332151262</v>
      </c>
      <c r="E6" s="6">
        <f t="shared" si="3"/>
        <v>0.2367513117</v>
      </c>
      <c r="F6" s="6">
        <f t="shared" si="3"/>
        <v>0.2407880968</v>
      </c>
      <c r="G6" s="6">
        <f t="shared" si="3"/>
        <v>0.1843813833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" t="s">
        <v>7</v>
      </c>
      <c r="B7" s="5">
        <v>2348802.0</v>
      </c>
      <c r="C7" s="5">
        <v>1845141.0</v>
      </c>
      <c r="D7" s="5">
        <v>7557.0</v>
      </c>
      <c r="E7" s="5">
        <v>13628.0</v>
      </c>
      <c r="F7" s="5">
        <v>227347.0</v>
      </c>
      <c r="G7" s="5">
        <v>426839.0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" t="s">
        <v>8</v>
      </c>
      <c r="B8" s="5">
        <v>1386474.0</v>
      </c>
      <c r="C8" s="5">
        <v>781572.0</v>
      </c>
      <c r="D8" s="5">
        <v>489183.0</v>
      </c>
      <c r="E8" s="5">
        <v>257763.0</v>
      </c>
      <c r="F8" s="5">
        <v>60000.0</v>
      </c>
      <c r="G8" s="5">
        <v>60000.0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" t="s">
        <v>9</v>
      </c>
      <c r="B9" s="5">
        <v>1205234.0</v>
      </c>
      <c r="C9" s="5">
        <v>697747.0</v>
      </c>
      <c r="D9" s="5">
        <v>693119.0</v>
      </c>
      <c r="E9" s="5">
        <v>393268.0</v>
      </c>
      <c r="F9" s="5">
        <v>173112.0</v>
      </c>
      <c r="G9" s="5">
        <v>4558.0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2" t="s">
        <v>10</v>
      </c>
      <c r="B10" s="5" t="s">
        <v>55</v>
      </c>
      <c r="C10" s="5" t="s">
        <v>56</v>
      </c>
      <c r="D10" s="5" t="s">
        <v>4</v>
      </c>
      <c r="E10" s="5" t="s">
        <v>4</v>
      </c>
      <c r="F10" s="5" t="s">
        <v>4</v>
      </c>
      <c r="G10" s="5" t="s"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/>
      <c r="B11" s="4"/>
      <c r="C11" s="4"/>
      <c r="D11" s="4"/>
      <c r="E11" s="4"/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9"/>
      <c r="B12" s="5">
        <v>1.73E9</v>
      </c>
      <c r="C12" s="5">
        <v>1.22E9</v>
      </c>
      <c r="D12" s="5">
        <v>8.792E8</v>
      </c>
      <c r="E12" s="5">
        <v>7.384E8</v>
      </c>
      <c r="F12" s="5">
        <v>2.38E8</v>
      </c>
      <c r="G12" s="5">
        <v>1.375E8</v>
      </c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4"/>
      <c r="B13" s="4"/>
      <c r="C13" s="4"/>
      <c r="D13" s="4"/>
      <c r="E13" s="4"/>
      <c r="F13" s="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10" t="s">
        <v>57</v>
      </c>
      <c r="B14" s="11"/>
      <c r="C14" s="11"/>
      <c r="D14" s="11"/>
      <c r="E14" s="11"/>
      <c r="F14" s="11"/>
      <c r="G14" s="11"/>
      <c r="H14" s="11"/>
      <c r="I14" s="4"/>
      <c r="J14" s="4"/>
      <c r="K14" s="4"/>
      <c r="L14" s="4"/>
      <c r="M14" s="4"/>
      <c r="N14" s="4"/>
      <c r="O14" s="4"/>
      <c r="P14" s="4"/>
      <c r="Q14" s="4"/>
    </row>
    <row r="15">
      <c r="A15" s="2" t="s">
        <v>58</v>
      </c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1" t="s">
        <v>59</v>
      </c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</sheetData>
  <autoFilter ref="$A$1:$Q$985"/>
  <hyperlinks>
    <hyperlink r:id="rId1" ref="A14"/>
  </hyperlinks>
  <drawing r:id="rId2"/>
</worksheet>
</file>